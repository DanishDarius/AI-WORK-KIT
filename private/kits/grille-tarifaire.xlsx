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églages" sheetId="1" state="visible" r:id="rId1"/>
    <sheet xmlns:r="http://schemas.openxmlformats.org/officeDocument/2006/relationships" name="Prestations" sheetId="2" state="visible" r:id="rId2"/>
    <sheet xmlns:r="http://schemas.openxmlformats.org/officeDocument/2006/relationships" name="Résumé" sheetId="3" state="visible" r:id="rId3"/>
    <sheet xmlns:r="http://schemas.openxmlformats.org/officeDocument/2006/relationships" name="Mode d'emploi" sheetId="4" state="visible" r:id="rId4"/>
  </sheets>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Arial"/>
      <b val="1"/>
      <color rgb="000B6B5E"/>
      <sz val="14"/>
    </font>
    <font>
      <name val="Arial"/>
      <b val="1"/>
      <sz val="11"/>
    </font>
    <font>
      <name val="Arial"/>
      <i val="1"/>
      <color rgb="00555555"/>
      <sz val="11"/>
    </font>
    <font>
      <name val="Arial"/>
      <b val="1"/>
      <color rgb="00FFFFFF"/>
      <sz val="11"/>
    </font>
    <font>
      <name val="Arial"/>
      <sz val="11"/>
    </font>
  </fonts>
  <fills count="5">
    <fill>
      <patternFill/>
    </fill>
    <fill>
      <patternFill patternType="gray125"/>
    </fill>
    <fill>
      <patternFill patternType="solid">
        <fgColor rgb="00FFF4CC"/>
        <bgColor rgb="00FFF4CC"/>
      </patternFill>
    </fill>
    <fill>
      <patternFill patternType="solid">
        <fgColor rgb="00ECEFEE"/>
        <bgColor rgb="00ECEFEE"/>
      </patternFill>
    </fill>
    <fill>
      <patternFill patternType="solid">
        <fgColor rgb="000B6B5E"/>
        <bgColor rgb="000B6B5E"/>
      </patternFill>
    </fill>
  </fills>
  <borders count="2">
    <border>
      <left/>
      <right/>
      <top/>
      <bottom/>
      <diagonal/>
    </border>
    <border>
      <left style="thin">
        <color rgb="00C9CFCD"/>
      </left>
      <right style="thin">
        <color rgb="00C9CFCD"/>
      </right>
      <top style="thin">
        <color rgb="00C9CFCD"/>
      </top>
      <bottom style="thin">
        <color rgb="00C9CFCD"/>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1" applyAlignment="1" pivotButton="0" quotePrefix="0" xfId="0">
      <alignment vertical="center" wrapText="1"/>
    </xf>
    <xf numFmtId="3" fontId="2" fillId="2" borderId="1" applyAlignment="1" pivotButton="0" quotePrefix="0" xfId="0">
      <alignment horizontal="right" vertical="center"/>
    </xf>
    <xf numFmtId="0" fontId="3" fillId="0" borderId="0" applyAlignment="1" pivotButton="0" quotePrefix="0" xfId="0">
      <alignment vertical="top" wrapText="1"/>
    </xf>
    <xf numFmtId="1" fontId="2" fillId="2" borderId="1" applyAlignment="1" pivotButton="0" quotePrefix="0" xfId="0">
      <alignment horizontal="right" vertical="center"/>
    </xf>
    <xf numFmtId="164" fontId="2" fillId="2" borderId="1" applyAlignment="1" pivotButton="0" quotePrefix="0" xfId="0">
      <alignment horizontal="right" vertical="center"/>
    </xf>
    <xf numFmtId="3" fontId="2" fillId="3" borderId="1" applyAlignment="1" pivotButton="0" quotePrefix="0" xfId="0">
      <alignment horizontal="right" vertical="center"/>
    </xf>
    <xf numFmtId="0" fontId="4" fillId="4" borderId="1" applyAlignment="1" pivotButton="0" quotePrefix="0" xfId="0">
      <alignment horizontal="center" vertical="center" wrapText="1"/>
    </xf>
    <xf numFmtId="0" fontId="5" fillId="0" borderId="1" applyAlignment="1" pivotButton="0" quotePrefix="0" xfId="0">
      <alignment vertical="center" wrapText="1"/>
    </xf>
    <xf numFmtId="164" fontId="5" fillId="0" borderId="1" applyAlignment="1" pivotButton="0" quotePrefix="0" xfId="0">
      <alignment vertical="center"/>
    </xf>
    <xf numFmtId="3" fontId="5" fillId="3" borderId="1" applyAlignment="1" pivotButton="0" quotePrefix="0" xfId="0">
      <alignment vertical="center"/>
    </xf>
    <xf numFmtId="3" fontId="5" fillId="0" borderId="1" applyAlignment="1" pivotButton="0" quotePrefix="0" xfId="0">
      <alignment vertical="center"/>
    </xf>
    <xf numFmtId="1" fontId="5" fillId="0" borderId="1" applyAlignment="1" pivotButton="0" quotePrefix="0" xfId="0">
      <alignment vertical="center"/>
    </xf>
    <xf numFmtId="3" fontId="2" fillId="3" borderId="1" pivotButton="0" quotePrefix="0" xfId="0"/>
    <xf numFmtId="1" fontId="2" fillId="3" borderId="1" pivotButton="0" quotePrefix="0" xfId="0"/>
    <xf numFmtId="0" fontId="2" fillId="0" borderId="0" applyAlignment="1" pivotButton="0" quotePrefix="0" xfId="0">
      <alignment vertical="top" wrapText="1"/>
    </xf>
    <xf numFmtId="0" fontId="5" fillId="0" borderId="0" applyAlignment="1" pivotButton="0" quotePrefix="0" xfId="0">
      <alignment vertical="top" wrapText="1"/>
    </xf>
    <xf numFmtId="0" fontId="3" fillId="0" borderId="0" pivotButton="0" quotePrefix="0" xfId="0"/>
  </cellXfs>
  <cellStyles count="1">
    <cellStyle name="Normal" xfId="0" builtinId="0" hidden="0"/>
  </cellStyles>
  <dxfs count="1">
    <dxf>
      <fill>
        <patternFill patternType="solid">
          <fgColor rgb="00F8D0CB"/>
          <bgColor rgb="00F8D0C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9"/>
  <sheetViews>
    <sheetView workbookViewId="0">
      <selection activeCell="A1" sqref="A1"/>
    </sheetView>
  </sheetViews>
  <sheetFormatPr baseColWidth="8" defaultRowHeight="15"/>
  <cols>
    <col width="40" customWidth="1" min="1" max="1"/>
    <col width="18" customWidth="1" min="2" max="2"/>
    <col width="56" customWidth="1" min="3" max="3"/>
  </cols>
  <sheetData>
    <row r="1">
      <c r="A1" s="1" t="inlineStr">
        <is>
          <t>Vos réglages</t>
        </is>
      </c>
    </row>
    <row r="3" ht="32" customHeight="1">
      <c r="A3" s="2" t="inlineStr">
        <is>
          <t>Revenu mensuel que vous visez (FCFA)</t>
        </is>
      </c>
      <c r="B3" s="3" t="n"/>
      <c r="C3" s="4" t="inlineStr">
        <is>
          <t>Ce que vous voulez gagner chaque mois, une fois vos charges payées.</t>
        </is>
      </c>
    </row>
    <row r="4" ht="32" customHeight="1">
      <c r="A4" s="2" t="inlineStr">
        <is>
          <t>Charges du mois (FCFA)</t>
        </is>
      </c>
      <c r="B4" s="3" t="n"/>
      <c r="C4" s="4" t="inlineStr">
        <is>
          <t>Connexion, logiciels, matériel, transport, loyer du local.</t>
        </is>
      </c>
    </row>
    <row r="5" ht="32" customHeight="1">
      <c r="A5" s="2" t="inlineStr">
        <is>
          <t>Jours facturables par mois</t>
        </is>
      </c>
      <c r="B5" s="5" t="n"/>
      <c r="C5" s="4" t="inlineStr">
        <is>
          <t>Les jours vraiment passés à créer pour un client. Pas les jours de démarchage.</t>
        </is>
      </c>
    </row>
    <row r="6">
      <c r="A6" s="2" t="inlineStr">
        <is>
          <t>Heures de création par jour</t>
        </is>
      </c>
      <c r="B6" s="6" t="n"/>
    </row>
    <row r="8">
      <c r="A8" s="2" t="inlineStr">
        <is>
          <t>Coût d'une journée (FCFA)</t>
        </is>
      </c>
      <c r="B8" s="7">
        <f>IF(OR($B$3="",$B$5="",$B$5=0),"",ROUND(($B$3+$B$4)/$B$5,0))</f>
        <v/>
      </c>
    </row>
    <row r="9">
      <c r="A9" s="2" t="inlineStr">
        <is>
          <t>Coût d'une heure (FCFA)</t>
        </is>
      </c>
      <c r="B9" s="7">
        <f>IF(OR($B$8="",$B$6="",$B$6=0),"",ROUND($B$8/$B$6,0))</f>
        <v/>
      </c>
    </row>
  </sheetData>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H101"/>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13" customWidth="1" min="3" max="3"/>
    <col width="11" customWidth="1" min="4" max="4"/>
    <col width="12" customWidth="1" min="5" max="5"/>
    <col width="12" customWidth="1" min="6" max="6"/>
    <col width="11" customWidth="1" min="7" max="7"/>
    <col width="11" customWidth="1" min="8" max="8"/>
  </cols>
  <sheetData>
    <row r="1" ht="52" customHeight="1">
      <c r="A1" s="8" t="inlineStr">
        <is>
          <t>Prestation</t>
        </is>
      </c>
      <c r="B1" s="8" t="inlineStr">
        <is>
          <t>Temps passé (heures)</t>
        </is>
      </c>
      <c r="C1" s="8" t="inlineStr">
        <is>
          <t>Coût de votre temps (FCFA)</t>
        </is>
      </c>
      <c r="D1" s="8" t="inlineStr">
        <is>
          <t>Frais (FCFA)</t>
        </is>
      </c>
      <c r="E1" s="8" t="inlineStr">
        <is>
          <t>Prix plancher (FCFA)</t>
        </is>
      </c>
      <c r="F1" s="8" t="inlineStr">
        <is>
          <t>Votre prix affiché (FCFA)</t>
        </is>
      </c>
      <c r="G1" s="8" t="inlineStr">
        <is>
          <t>Écart (FCFA)</t>
        </is>
      </c>
      <c r="H1" s="8" t="inlineStr">
        <is>
          <t>Modifications comprises</t>
        </is>
      </c>
    </row>
    <row r="2">
      <c r="A2" s="9" t="n"/>
      <c r="B2" s="10" t="n"/>
      <c r="C2" s="11">
        <f>IF(OR($B2="",Réglages!$B$9=""),"",ROUND($B2*Réglages!$B$9,0))</f>
        <v/>
      </c>
      <c r="D2" s="12" t="n"/>
      <c r="E2" s="11">
        <f>IF($C2="","",$C2+$D2)</f>
        <v/>
      </c>
      <c r="F2" s="12" t="n"/>
      <c r="G2" s="11">
        <f>IF(OR($E2="",$F2=""),"",$F2-$E2)</f>
        <v/>
      </c>
      <c r="H2" s="13" t="n"/>
    </row>
    <row r="3">
      <c r="A3" s="9" t="n"/>
      <c r="B3" s="10" t="n"/>
      <c r="C3" s="11">
        <f>IF(OR($B3="",Réglages!$B$9=""),"",ROUND($B3*Réglages!$B$9,0))</f>
        <v/>
      </c>
      <c r="D3" s="12" t="n"/>
      <c r="E3" s="11">
        <f>IF($C3="","",$C3+$D3)</f>
        <v/>
      </c>
      <c r="F3" s="12" t="n"/>
      <c r="G3" s="11">
        <f>IF(OR($E3="",$F3=""),"",$F3-$E3)</f>
        <v/>
      </c>
      <c r="H3" s="13" t="n"/>
    </row>
    <row r="4">
      <c r="A4" s="9" t="n"/>
      <c r="B4" s="10" t="n"/>
      <c r="C4" s="11">
        <f>IF(OR($B4="",Réglages!$B$9=""),"",ROUND($B4*Réglages!$B$9,0))</f>
        <v/>
      </c>
      <c r="D4" s="12" t="n"/>
      <c r="E4" s="11">
        <f>IF($C4="","",$C4+$D4)</f>
        <v/>
      </c>
      <c r="F4" s="12" t="n"/>
      <c r="G4" s="11">
        <f>IF(OR($E4="",$F4=""),"",$F4-$E4)</f>
        <v/>
      </c>
      <c r="H4" s="13" t="n"/>
    </row>
    <row r="5">
      <c r="A5" s="9" t="n"/>
      <c r="B5" s="10" t="n"/>
      <c r="C5" s="11">
        <f>IF(OR($B5="",Réglages!$B$9=""),"",ROUND($B5*Réglages!$B$9,0))</f>
        <v/>
      </c>
      <c r="D5" s="12" t="n"/>
      <c r="E5" s="11">
        <f>IF($C5="","",$C5+$D5)</f>
        <v/>
      </c>
      <c r="F5" s="12" t="n"/>
      <c r="G5" s="11">
        <f>IF(OR($E5="",$F5=""),"",$F5-$E5)</f>
        <v/>
      </c>
      <c r="H5" s="13" t="n"/>
    </row>
    <row r="6">
      <c r="A6" s="9" t="n"/>
      <c r="B6" s="10" t="n"/>
      <c r="C6" s="11">
        <f>IF(OR($B6="",Réglages!$B$9=""),"",ROUND($B6*Réglages!$B$9,0))</f>
        <v/>
      </c>
      <c r="D6" s="12" t="n"/>
      <c r="E6" s="11">
        <f>IF($C6="","",$C6+$D6)</f>
        <v/>
      </c>
      <c r="F6" s="12" t="n"/>
      <c r="G6" s="11">
        <f>IF(OR($E6="",$F6=""),"",$F6-$E6)</f>
        <v/>
      </c>
      <c r="H6" s="13" t="n"/>
    </row>
    <row r="7">
      <c r="A7" s="9" t="n"/>
      <c r="B7" s="10" t="n"/>
      <c r="C7" s="11">
        <f>IF(OR($B7="",Réglages!$B$9=""),"",ROUND($B7*Réglages!$B$9,0))</f>
        <v/>
      </c>
      <c r="D7" s="12" t="n"/>
      <c r="E7" s="11">
        <f>IF($C7="","",$C7+$D7)</f>
        <v/>
      </c>
      <c r="F7" s="12" t="n"/>
      <c r="G7" s="11">
        <f>IF(OR($E7="",$F7=""),"",$F7-$E7)</f>
        <v/>
      </c>
      <c r="H7" s="13" t="n"/>
    </row>
    <row r="8">
      <c r="A8" s="9" t="n"/>
      <c r="B8" s="10" t="n"/>
      <c r="C8" s="11">
        <f>IF(OR($B8="",Réglages!$B$9=""),"",ROUND($B8*Réglages!$B$9,0))</f>
        <v/>
      </c>
      <c r="D8" s="12" t="n"/>
      <c r="E8" s="11">
        <f>IF($C8="","",$C8+$D8)</f>
        <v/>
      </c>
      <c r="F8" s="12" t="n"/>
      <c r="G8" s="11">
        <f>IF(OR($E8="",$F8=""),"",$F8-$E8)</f>
        <v/>
      </c>
      <c r="H8" s="13" t="n"/>
    </row>
    <row r="9">
      <c r="A9" s="9" t="n"/>
      <c r="B9" s="10" t="n"/>
      <c r="C9" s="11">
        <f>IF(OR($B9="",Réglages!$B$9=""),"",ROUND($B9*Réglages!$B$9,0))</f>
        <v/>
      </c>
      <c r="D9" s="12" t="n"/>
      <c r="E9" s="11">
        <f>IF($C9="","",$C9+$D9)</f>
        <v/>
      </c>
      <c r="F9" s="12" t="n"/>
      <c r="G9" s="11">
        <f>IF(OR($E9="",$F9=""),"",$F9-$E9)</f>
        <v/>
      </c>
      <c r="H9" s="13" t="n"/>
    </row>
    <row r="10">
      <c r="A10" s="9" t="n"/>
      <c r="B10" s="10" t="n"/>
      <c r="C10" s="11">
        <f>IF(OR($B10="",Réglages!$B$9=""),"",ROUND($B10*Réglages!$B$9,0))</f>
        <v/>
      </c>
      <c r="D10" s="12" t="n"/>
      <c r="E10" s="11">
        <f>IF($C10="","",$C10+$D10)</f>
        <v/>
      </c>
      <c r="F10" s="12" t="n"/>
      <c r="G10" s="11">
        <f>IF(OR($E10="",$F10=""),"",$F10-$E10)</f>
        <v/>
      </c>
      <c r="H10" s="13" t="n"/>
    </row>
    <row r="11">
      <c r="A11" s="9" t="n"/>
      <c r="B11" s="10" t="n"/>
      <c r="C11" s="11">
        <f>IF(OR($B11="",Réglages!$B$9=""),"",ROUND($B11*Réglages!$B$9,0))</f>
        <v/>
      </c>
      <c r="D11" s="12" t="n"/>
      <c r="E11" s="11">
        <f>IF($C11="","",$C11+$D11)</f>
        <v/>
      </c>
      <c r="F11" s="12" t="n"/>
      <c r="G11" s="11">
        <f>IF(OR($E11="",$F11=""),"",$F11-$E11)</f>
        <v/>
      </c>
      <c r="H11" s="13" t="n"/>
    </row>
    <row r="12">
      <c r="A12" s="9" t="n"/>
      <c r="B12" s="10" t="n"/>
      <c r="C12" s="11">
        <f>IF(OR($B12="",Réglages!$B$9=""),"",ROUND($B12*Réglages!$B$9,0))</f>
        <v/>
      </c>
      <c r="D12" s="12" t="n"/>
      <c r="E12" s="11">
        <f>IF($C12="","",$C12+$D12)</f>
        <v/>
      </c>
      <c r="F12" s="12" t="n"/>
      <c r="G12" s="11">
        <f>IF(OR($E12="",$F12=""),"",$F12-$E12)</f>
        <v/>
      </c>
      <c r="H12" s="13" t="n"/>
    </row>
    <row r="13">
      <c r="A13" s="9" t="n"/>
      <c r="B13" s="10" t="n"/>
      <c r="C13" s="11">
        <f>IF(OR($B13="",Réglages!$B$9=""),"",ROUND($B13*Réglages!$B$9,0))</f>
        <v/>
      </c>
      <c r="D13" s="12" t="n"/>
      <c r="E13" s="11">
        <f>IF($C13="","",$C13+$D13)</f>
        <v/>
      </c>
      <c r="F13" s="12" t="n"/>
      <c r="G13" s="11">
        <f>IF(OR($E13="",$F13=""),"",$F13-$E13)</f>
        <v/>
      </c>
      <c r="H13" s="13" t="n"/>
    </row>
    <row r="14">
      <c r="A14" s="9" t="n"/>
      <c r="B14" s="10" t="n"/>
      <c r="C14" s="11">
        <f>IF(OR($B14="",Réglages!$B$9=""),"",ROUND($B14*Réglages!$B$9,0))</f>
        <v/>
      </c>
      <c r="D14" s="12" t="n"/>
      <c r="E14" s="11">
        <f>IF($C14="","",$C14+$D14)</f>
        <v/>
      </c>
      <c r="F14" s="12" t="n"/>
      <c r="G14" s="11">
        <f>IF(OR($E14="",$F14=""),"",$F14-$E14)</f>
        <v/>
      </c>
      <c r="H14" s="13" t="n"/>
    </row>
    <row r="15">
      <c r="A15" s="9" t="n"/>
      <c r="B15" s="10" t="n"/>
      <c r="C15" s="11">
        <f>IF(OR($B15="",Réglages!$B$9=""),"",ROUND($B15*Réglages!$B$9,0))</f>
        <v/>
      </c>
      <c r="D15" s="12" t="n"/>
      <c r="E15" s="11">
        <f>IF($C15="","",$C15+$D15)</f>
        <v/>
      </c>
      <c r="F15" s="12" t="n"/>
      <c r="G15" s="11">
        <f>IF(OR($E15="",$F15=""),"",$F15-$E15)</f>
        <v/>
      </c>
      <c r="H15" s="13" t="n"/>
    </row>
    <row r="16">
      <c r="A16" s="9" t="n"/>
      <c r="B16" s="10" t="n"/>
      <c r="C16" s="11">
        <f>IF(OR($B16="",Réglages!$B$9=""),"",ROUND($B16*Réglages!$B$9,0))</f>
        <v/>
      </c>
      <c r="D16" s="12" t="n"/>
      <c r="E16" s="11">
        <f>IF($C16="","",$C16+$D16)</f>
        <v/>
      </c>
      <c r="F16" s="12" t="n"/>
      <c r="G16" s="11">
        <f>IF(OR($E16="",$F16=""),"",$F16-$E16)</f>
        <v/>
      </c>
      <c r="H16" s="13" t="n"/>
    </row>
    <row r="17">
      <c r="A17" s="9" t="n"/>
      <c r="B17" s="10" t="n"/>
      <c r="C17" s="11">
        <f>IF(OR($B17="",Réglages!$B$9=""),"",ROUND($B17*Réglages!$B$9,0))</f>
        <v/>
      </c>
      <c r="D17" s="12" t="n"/>
      <c r="E17" s="11">
        <f>IF($C17="","",$C17+$D17)</f>
        <v/>
      </c>
      <c r="F17" s="12" t="n"/>
      <c r="G17" s="11">
        <f>IF(OR($E17="",$F17=""),"",$F17-$E17)</f>
        <v/>
      </c>
      <c r="H17" s="13" t="n"/>
    </row>
    <row r="18">
      <c r="A18" s="9" t="n"/>
      <c r="B18" s="10" t="n"/>
      <c r="C18" s="11">
        <f>IF(OR($B18="",Réglages!$B$9=""),"",ROUND($B18*Réglages!$B$9,0))</f>
        <v/>
      </c>
      <c r="D18" s="12" t="n"/>
      <c r="E18" s="11">
        <f>IF($C18="","",$C18+$D18)</f>
        <v/>
      </c>
      <c r="F18" s="12" t="n"/>
      <c r="G18" s="11">
        <f>IF(OR($E18="",$F18=""),"",$F18-$E18)</f>
        <v/>
      </c>
      <c r="H18" s="13" t="n"/>
    </row>
    <row r="19">
      <c r="A19" s="9" t="n"/>
      <c r="B19" s="10" t="n"/>
      <c r="C19" s="11">
        <f>IF(OR($B19="",Réglages!$B$9=""),"",ROUND($B19*Réglages!$B$9,0))</f>
        <v/>
      </c>
      <c r="D19" s="12" t="n"/>
      <c r="E19" s="11">
        <f>IF($C19="","",$C19+$D19)</f>
        <v/>
      </c>
      <c r="F19" s="12" t="n"/>
      <c r="G19" s="11">
        <f>IF(OR($E19="",$F19=""),"",$F19-$E19)</f>
        <v/>
      </c>
      <c r="H19" s="13" t="n"/>
    </row>
    <row r="20">
      <c r="A20" s="9" t="n"/>
      <c r="B20" s="10" t="n"/>
      <c r="C20" s="11">
        <f>IF(OR($B20="",Réglages!$B$9=""),"",ROUND($B20*Réglages!$B$9,0))</f>
        <v/>
      </c>
      <c r="D20" s="12" t="n"/>
      <c r="E20" s="11">
        <f>IF($C20="","",$C20+$D20)</f>
        <v/>
      </c>
      <c r="F20" s="12" t="n"/>
      <c r="G20" s="11">
        <f>IF(OR($E20="",$F20=""),"",$F20-$E20)</f>
        <v/>
      </c>
      <c r="H20" s="13" t="n"/>
    </row>
    <row r="21">
      <c r="A21" s="9" t="n"/>
      <c r="B21" s="10" t="n"/>
      <c r="C21" s="11">
        <f>IF(OR($B21="",Réglages!$B$9=""),"",ROUND($B21*Réglages!$B$9,0))</f>
        <v/>
      </c>
      <c r="D21" s="12" t="n"/>
      <c r="E21" s="11">
        <f>IF($C21="","",$C21+$D21)</f>
        <v/>
      </c>
      <c r="F21" s="12" t="n"/>
      <c r="G21" s="11">
        <f>IF(OR($E21="",$F21=""),"",$F21-$E21)</f>
        <v/>
      </c>
      <c r="H21" s="13" t="n"/>
    </row>
    <row r="22">
      <c r="A22" s="9" t="n"/>
      <c r="B22" s="10" t="n"/>
      <c r="C22" s="11">
        <f>IF(OR($B22="",Réglages!$B$9=""),"",ROUND($B22*Réglages!$B$9,0))</f>
        <v/>
      </c>
      <c r="D22" s="12" t="n"/>
      <c r="E22" s="11">
        <f>IF($C22="","",$C22+$D22)</f>
        <v/>
      </c>
      <c r="F22" s="12" t="n"/>
      <c r="G22" s="11">
        <f>IF(OR($E22="",$F22=""),"",$F22-$E22)</f>
        <v/>
      </c>
      <c r="H22" s="13" t="n"/>
    </row>
    <row r="23">
      <c r="A23" s="9" t="n"/>
      <c r="B23" s="10" t="n"/>
      <c r="C23" s="11">
        <f>IF(OR($B23="",Réglages!$B$9=""),"",ROUND($B23*Réglages!$B$9,0))</f>
        <v/>
      </c>
      <c r="D23" s="12" t="n"/>
      <c r="E23" s="11">
        <f>IF($C23="","",$C23+$D23)</f>
        <v/>
      </c>
      <c r="F23" s="12" t="n"/>
      <c r="G23" s="11">
        <f>IF(OR($E23="",$F23=""),"",$F23-$E23)</f>
        <v/>
      </c>
      <c r="H23" s="13" t="n"/>
    </row>
    <row r="24">
      <c r="A24" s="9" t="n"/>
      <c r="B24" s="10" t="n"/>
      <c r="C24" s="11">
        <f>IF(OR($B24="",Réglages!$B$9=""),"",ROUND($B24*Réglages!$B$9,0))</f>
        <v/>
      </c>
      <c r="D24" s="12" t="n"/>
      <c r="E24" s="11">
        <f>IF($C24="","",$C24+$D24)</f>
        <v/>
      </c>
      <c r="F24" s="12" t="n"/>
      <c r="G24" s="11">
        <f>IF(OR($E24="",$F24=""),"",$F24-$E24)</f>
        <v/>
      </c>
      <c r="H24" s="13" t="n"/>
    </row>
    <row r="25">
      <c r="A25" s="9" t="n"/>
      <c r="B25" s="10" t="n"/>
      <c r="C25" s="11">
        <f>IF(OR($B25="",Réglages!$B$9=""),"",ROUND($B25*Réglages!$B$9,0))</f>
        <v/>
      </c>
      <c r="D25" s="12" t="n"/>
      <c r="E25" s="11">
        <f>IF($C25="","",$C25+$D25)</f>
        <v/>
      </c>
      <c r="F25" s="12" t="n"/>
      <c r="G25" s="11">
        <f>IF(OR($E25="",$F25=""),"",$F25-$E25)</f>
        <v/>
      </c>
      <c r="H25" s="13" t="n"/>
    </row>
    <row r="26">
      <c r="A26" s="9" t="n"/>
      <c r="B26" s="10" t="n"/>
      <c r="C26" s="11">
        <f>IF(OR($B26="",Réglages!$B$9=""),"",ROUND($B26*Réglages!$B$9,0))</f>
        <v/>
      </c>
      <c r="D26" s="12" t="n"/>
      <c r="E26" s="11">
        <f>IF($C26="","",$C26+$D26)</f>
        <v/>
      </c>
      <c r="F26" s="12" t="n"/>
      <c r="G26" s="11">
        <f>IF(OR($E26="",$F26=""),"",$F26-$E26)</f>
        <v/>
      </c>
      <c r="H26" s="13" t="n"/>
    </row>
    <row r="27">
      <c r="A27" s="9" t="n"/>
      <c r="B27" s="10" t="n"/>
      <c r="C27" s="11">
        <f>IF(OR($B27="",Réglages!$B$9=""),"",ROUND($B27*Réglages!$B$9,0))</f>
        <v/>
      </c>
      <c r="D27" s="12" t="n"/>
      <c r="E27" s="11">
        <f>IF($C27="","",$C27+$D27)</f>
        <v/>
      </c>
      <c r="F27" s="12" t="n"/>
      <c r="G27" s="11">
        <f>IF(OR($E27="",$F27=""),"",$F27-$E27)</f>
        <v/>
      </c>
      <c r="H27" s="13" t="n"/>
    </row>
    <row r="28">
      <c r="A28" s="9" t="n"/>
      <c r="B28" s="10" t="n"/>
      <c r="C28" s="11">
        <f>IF(OR($B28="",Réglages!$B$9=""),"",ROUND($B28*Réglages!$B$9,0))</f>
        <v/>
      </c>
      <c r="D28" s="12" t="n"/>
      <c r="E28" s="11">
        <f>IF($C28="","",$C28+$D28)</f>
        <v/>
      </c>
      <c r="F28" s="12" t="n"/>
      <c r="G28" s="11">
        <f>IF(OR($E28="",$F28=""),"",$F28-$E28)</f>
        <v/>
      </c>
      <c r="H28" s="13" t="n"/>
    </row>
    <row r="29">
      <c r="A29" s="9" t="n"/>
      <c r="B29" s="10" t="n"/>
      <c r="C29" s="11">
        <f>IF(OR($B29="",Réglages!$B$9=""),"",ROUND($B29*Réglages!$B$9,0))</f>
        <v/>
      </c>
      <c r="D29" s="12" t="n"/>
      <c r="E29" s="11">
        <f>IF($C29="","",$C29+$D29)</f>
        <v/>
      </c>
      <c r="F29" s="12" t="n"/>
      <c r="G29" s="11">
        <f>IF(OR($E29="",$F29=""),"",$F29-$E29)</f>
        <v/>
      </c>
      <c r="H29" s="13" t="n"/>
    </row>
    <row r="30">
      <c r="A30" s="9" t="n"/>
      <c r="B30" s="10" t="n"/>
      <c r="C30" s="11">
        <f>IF(OR($B30="",Réglages!$B$9=""),"",ROUND($B30*Réglages!$B$9,0))</f>
        <v/>
      </c>
      <c r="D30" s="12" t="n"/>
      <c r="E30" s="11">
        <f>IF($C30="","",$C30+$D30)</f>
        <v/>
      </c>
      <c r="F30" s="12" t="n"/>
      <c r="G30" s="11">
        <f>IF(OR($E30="",$F30=""),"",$F30-$E30)</f>
        <v/>
      </c>
      <c r="H30" s="13" t="n"/>
    </row>
    <row r="31">
      <c r="A31" s="9" t="n"/>
      <c r="B31" s="10" t="n"/>
      <c r="C31" s="11">
        <f>IF(OR($B31="",Réglages!$B$9=""),"",ROUND($B31*Réglages!$B$9,0))</f>
        <v/>
      </c>
      <c r="D31" s="12" t="n"/>
      <c r="E31" s="11">
        <f>IF($C31="","",$C31+$D31)</f>
        <v/>
      </c>
      <c r="F31" s="12" t="n"/>
      <c r="G31" s="11">
        <f>IF(OR($E31="",$F31=""),"",$F31-$E31)</f>
        <v/>
      </c>
      <c r="H31" s="13" t="n"/>
    </row>
    <row r="32">
      <c r="A32" s="9" t="n"/>
      <c r="B32" s="10" t="n"/>
      <c r="C32" s="11">
        <f>IF(OR($B32="",Réglages!$B$9=""),"",ROUND($B32*Réglages!$B$9,0))</f>
        <v/>
      </c>
      <c r="D32" s="12" t="n"/>
      <c r="E32" s="11">
        <f>IF($C32="","",$C32+$D32)</f>
        <v/>
      </c>
      <c r="F32" s="12" t="n"/>
      <c r="G32" s="11">
        <f>IF(OR($E32="",$F32=""),"",$F32-$E32)</f>
        <v/>
      </c>
      <c r="H32" s="13" t="n"/>
    </row>
    <row r="33">
      <c r="A33" s="9" t="n"/>
      <c r="B33" s="10" t="n"/>
      <c r="C33" s="11">
        <f>IF(OR($B33="",Réglages!$B$9=""),"",ROUND($B33*Réglages!$B$9,0))</f>
        <v/>
      </c>
      <c r="D33" s="12" t="n"/>
      <c r="E33" s="11">
        <f>IF($C33="","",$C33+$D33)</f>
        <v/>
      </c>
      <c r="F33" s="12" t="n"/>
      <c r="G33" s="11">
        <f>IF(OR($E33="",$F33=""),"",$F33-$E33)</f>
        <v/>
      </c>
      <c r="H33" s="13" t="n"/>
    </row>
    <row r="34">
      <c r="A34" s="9" t="n"/>
      <c r="B34" s="10" t="n"/>
      <c r="C34" s="11">
        <f>IF(OR($B34="",Réglages!$B$9=""),"",ROUND($B34*Réglages!$B$9,0))</f>
        <v/>
      </c>
      <c r="D34" s="12" t="n"/>
      <c r="E34" s="11">
        <f>IF($C34="","",$C34+$D34)</f>
        <v/>
      </c>
      <c r="F34" s="12" t="n"/>
      <c r="G34" s="11">
        <f>IF(OR($E34="",$F34=""),"",$F34-$E34)</f>
        <v/>
      </c>
      <c r="H34" s="13" t="n"/>
    </row>
    <row r="35">
      <c r="A35" s="9" t="n"/>
      <c r="B35" s="10" t="n"/>
      <c r="C35" s="11">
        <f>IF(OR($B35="",Réglages!$B$9=""),"",ROUND($B35*Réglages!$B$9,0))</f>
        <v/>
      </c>
      <c r="D35" s="12" t="n"/>
      <c r="E35" s="11">
        <f>IF($C35="","",$C35+$D35)</f>
        <v/>
      </c>
      <c r="F35" s="12" t="n"/>
      <c r="G35" s="11">
        <f>IF(OR($E35="",$F35=""),"",$F35-$E35)</f>
        <v/>
      </c>
      <c r="H35" s="13" t="n"/>
    </row>
    <row r="36">
      <c r="A36" s="9" t="n"/>
      <c r="B36" s="10" t="n"/>
      <c r="C36" s="11">
        <f>IF(OR($B36="",Réglages!$B$9=""),"",ROUND($B36*Réglages!$B$9,0))</f>
        <v/>
      </c>
      <c r="D36" s="12" t="n"/>
      <c r="E36" s="11">
        <f>IF($C36="","",$C36+$D36)</f>
        <v/>
      </c>
      <c r="F36" s="12" t="n"/>
      <c r="G36" s="11">
        <f>IF(OR($E36="",$F36=""),"",$F36-$E36)</f>
        <v/>
      </c>
      <c r="H36" s="13" t="n"/>
    </row>
    <row r="37">
      <c r="A37" s="9" t="n"/>
      <c r="B37" s="10" t="n"/>
      <c r="C37" s="11">
        <f>IF(OR($B37="",Réglages!$B$9=""),"",ROUND($B37*Réglages!$B$9,0))</f>
        <v/>
      </c>
      <c r="D37" s="12" t="n"/>
      <c r="E37" s="11">
        <f>IF($C37="","",$C37+$D37)</f>
        <v/>
      </c>
      <c r="F37" s="12" t="n"/>
      <c r="G37" s="11">
        <f>IF(OR($E37="",$F37=""),"",$F37-$E37)</f>
        <v/>
      </c>
      <c r="H37" s="13" t="n"/>
    </row>
    <row r="38">
      <c r="A38" s="9" t="n"/>
      <c r="B38" s="10" t="n"/>
      <c r="C38" s="11">
        <f>IF(OR($B38="",Réglages!$B$9=""),"",ROUND($B38*Réglages!$B$9,0))</f>
        <v/>
      </c>
      <c r="D38" s="12" t="n"/>
      <c r="E38" s="11">
        <f>IF($C38="","",$C38+$D38)</f>
        <v/>
      </c>
      <c r="F38" s="12" t="n"/>
      <c r="G38" s="11">
        <f>IF(OR($E38="",$F38=""),"",$F38-$E38)</f>
        <v/>
      </c>
      <c r="H38" s="13" t="n"/>
    </row>
    <row r="39">
      <c r="A39" s="9" t="n"/>
      <c r="B39" s="10" t="n"/>
      <c r="C39" s="11">
        <f>IF(OR($B39="",Réglages!$B$9=""),"",ROUND($B39*Réglages!$B$9,0))</f>
        <v/>
      </c>
      <c r="D39" s="12" t="n"/>
      <c r="E39" s="11">
        <f>IF($C39="","",$C39+$D39)</f>
        <v/>
      </c>
      <c r="F39" s="12" t="n"/>
      <c r="G39" s="11">
        <f>IF(OR($E39="",$F39=""),"",$F39-$E39)</f>
        <v/>
      </c>
      <c r="H39" s="13" t="n"/>
    </row>
    <row r="40">
      <c r="A40" s="9" t="n"/>
      <c r="B40" s="10" t="n"/>
      <c r="C40" s="11">
        <f>IF(OR($B40="",Réglages!$B$9=""),"",ROUND($B40*Réglages!$B$9,0))</f>
        <v/>
      </c>
      <c r="D40" s="12" t="n"/>
      <c r="E40" s="11">
        <f>IF($C40="","",$C40+$D40)</f>
        <v/>
      </c>
      <c r="F40" s="12" t="n"/>
      <c r="G40" s="11">
        <f>IF(OR($E40="",$F40=""),"",$F40-$E40)</f>
        <v/>
      </c>
      <c r="H40" s="13" t="n"/>
    </row>
    <row r="41">
      <c r="A41" s="9" t="n"/>
      <c r="B41" s="10" t="n"/>
      <c r="C41" s="11">
        <f>IF(OR($B41="",Réglages!$B$9=""),"",ROUND($B41*Réglages!$B$9,0))</f>
        <v/>
      </c>
      <c r="D41" s="12" t="n"/>
      <c r="E41" s="11">
        <f>IF($C41="","",$C41+$D41)</f>
        <v/>
      </c>
      <c r="F41" s="12" t="n"/>
      <c r="G41" s="11">
        <f>IF(OR($E41="",$F41=""),"",$F41-$E41)</f>
        <v/>
      </c>
      <c r="H41" s="13" t="n"/>
    </row>
    <row r="42">
      <c r="A42" s="9" t="n"/>
      <c r="B42" s="10" t="n"/>
      <c r="C42" s="11">
        <f>IF(OR($B42="",Réglages!$B$9=""),"",ROUND($B42*Réglages!$B$9,0))</f>
        <v/>
      </c>
      <c r="D42" s="12" t="n"/>
      <c r="E42" s="11">
        <f>IF($C42="","",$C42+$D42)</f>
        <v/>
      </c>
      <c r="F42" s="12" t="n"/>
      <c r="G42" s="11">
        <f>IF(OR($E42="",$F42=""),"",$F42-$E42)</f>
        <v/>
      </c>
      <c r="H42" s="13" t="n"/>
    </row>
    <row r="43">
      <c r="A43" s="9" t="n"/>
      <c r="B43" s="10" t="n"/>
      <c r="C43" s="11">
        <f>IF(OR($B43="",Réglages!$B$9=""),"",ROUND($B43*Réglages!$B$9,0))</f>
        <v/>
      </c>
      <c r="D43" s="12" t="n"/>
      <c r="E43" s="11">
        <f>IF($C43="","",$C43+$D43)</f>
        <v/>
      </c>
      <c r="F43" s="12" t="n"/>
      <c r="G43" s="11">
        <f>IF(OR($E43="",$F43=""),"",$F43-$E43)</f>
        <v/>
      </c>
      <c r="H43" s="13" t="n"/>
    </row>
    <row r="44">
      <c r="A44" s="9" t="n"/>
      <c r="B44" s="10" t="n"/>
      <c r="C44" s="11">
        <f>IF(OR($B44="",Réglages!$B$9=""),"",ROUND($B44*Réglages!$B$9,0))</f>
        <v/>
      </c>
      <c r="D44" s="12" t="n"/>
      <c r="E44" s="11">
        <f>IF($C44="","",$C44+$D44)</f>
        <v/>
      </c>
      <c r="F44" s="12" t="n"/>
      <c r="G44" s="11">
        <f>IF(OR($E44="",$F44=""),"",$F44-$E44)</f>
        <v/>
      </c>
      <c r="H44" s="13" t="n"/>
    </row>
    <row r="45">
      <c r="A45" s="9" t="n"/>
      <c r="B45" s="10" t="n"/>
      <c r="C45" s="11">
        <f>IF(OR($B45="",Réglages!$B$9=""),"",ROUND($B45*Réglages!$B$9,0))</f>
        <v/>
      </c>
      <c r="D45" s="12" t="n"/>
      <c r="E45" s="11">
        <f>IF($C45="","",$C45+$D45)</f>
        <v/>
      </c>
      <c r="F45" s="12" t="n"/>
      <c r="G45" s="11">
        <f>IF(OR($E45="",$F45=""),"",$F45-$E45)</f>
        <v/>
      </c>
      <c r="H45" s="13" t="n"/>
    </row>
    <row r="46">
      <c r="A46" s="9" t="n"/>
      <c r="B46" s="10" t="n"/>
      <c r="C46" s="11">
        <f>IF(OR($B46="",Réglages!$B$9=""),"",ROUND($B46*Réglages!$B$9,0))</f>
        <v/>
      </c>
      <c r="D46" s="12" t="n"/>
      <c r="E46" s="11">
        <f>IF($C46="","",$C46+$D46)</f>
        <v/>
      </c>
      <c r="F46" s="12" t="n"/>
      <c r="G46" s="11">
        <f>IF(OR($E46="",$F46=""),"",$F46-$E46)</f>
        <v/>
      </c>
      <c r="H46" s="13" t="n"/>
    </row>
    <row r="47">
      <c r="A47" s="9" t="n"/>
      <c r="B47" s="10" t="n"/>
      <c r="C47" s="11">
        <f>IF(OR($B47="",Réglages!$B$9=""),"",ROUND($B47*Réglages!$B$9,0))</f>
        <v/>
      </c>
      <c r="D47" s="12" t="n"/>
      <c r="E47" s="11">
        <f>IF($C47="","",$C47+$D47)</f>
        <v/>
      </c>
      <c r="F47" s="12" t="n"/>
      <c r="G47" s="11">
        <f>IF(OR($E47="",$F47=""),"",$F47-$E47)</f>
        <v/>
      </c>
      <c r="H47" s="13" t="n"/>
    </row>
    <row r="48">
      <c r="A48" s="9" t="n"/>
      <c r="B48" s="10" t="n"/>
      <c r="C48" s="11">
        <f>IF(OR($B48="",Réglages!$B$9=""),"",ROUND($B48*Réglages!$B$9,0))</f>
        <v/>
      </c>
      <c r="D48" s="12" t="n"/>
      <c r="E48" s="11">
        <f>IF($C48="","",$C48+$D48)</f>
        <v/>
      </c>
      <c r="F48" s="12" t="n"/>
      <c r="G48" s="11">
        <f>IF(OR($E48="",$F48=""),"",$F48-$E48)</f>
        <v/>
      </c>
      <c r="H48" s="13" t="n"/>
    </row>
    <row r="49">
      <c r="A49" s="9" t="n"/>
      <c r="B49" s="10" t="n"/>
      <c r="C49" s="11">
        <f>IF(OR($B49="",Réglages!$B$9=""),"",ROUND($B49*Réglages!$B$9,0))</f>
        <v/>
      </c>
      <c r="D49" s="12" t="n"/>
      <c r="E49" s="11">
        <f>IF($C49="","",$C49+$D49)</f>
        <v/>
      </c>
      <c r="F49" s="12" t="n"/>
      <c r="G49" s="11">
        <f>IF(OR($E49="",$F49=""),"",$F49-$E49)</f>
        <v/>
      </c>
      <c r="H49" s="13" t="n"/>
    </row>
    <row r="50">
      <c r="A50" s="9" t="n"/>
      <c r="B50" s="10" t="n"/>
      <c r="C50" s="11">
        <f>IF(OR($B50="",Réglages!$B$9=""),"",ROUND($B50*Réglages!$B$9,0))</f>
        <v/>
      </c>
      <c r="D50" s="12" t="n"/>
      <c r="E50" s="11">
        <f>IF($C50="","",$C50+$D50)</f>
        <v/>
      </c>
      <c r="F50" s="12" t="n"/>
      <c r="G50" s="11">
        <f>IF(OR($E50="",$F50=""),"",$F50-$E50)</f>
        <v/>
      </c>
      <c r="H50" s="13" t="n"/>
    </row>
    <row r="51">
      <c r="A51" s="9" t="n"/>
      <c r="B51" s="10" t="n"/>
      <c r="C51" s="11">
        <f>IF(OR($B51="",Réglages!$B$9=""),"",ROUND($B51*Réglages!$B$9,0))</f>
        <v/>
      </c>
      <c r="D51" s="12" t="n"/>
      <c r="E51" s="11">
        <f>IF($C51="","",$C51+$D51)</f>
        <v/>
      </c>
      <c r="F51" s="12" t="n"/>
      <c r="G51" s="11">
        <f>IF(OR($E51="",$F51=""),"",$F51-$E51)</f>
        <v/>
      </c>
      <c r="H51" s="13" t="n"/>
    </row>
    <row r="52">
      <c r="A52" s="9" t="n"/>
      <c r="B52" s="10" t="n"/>
      <c r="C52" s="11">
        <f>IF(OR($B52="",Réglages!$B$9=""),"",ROUND($B52*Réglages!$B$9,0))</f>
        <v/>
      </c>
      <c r="D52" s="12" t="n"/>
      <c r="E52" s="11">
        <f>IF($C52="","",$C52+$D52)</f>
        <v/>
      </c>
      <c r="F52" s="12" t="n"/>
      <c r="G52" s="11">
        <f>IF(OR($E52="",$F52=""),"",$F52-$E52)</f>
        <v/>
      </c>
      <c r="H52" s="13" t="n"/>
    </row>
    <row r="53">
      <c r="A53" s="9" t="n"/>
      <c r="B53" s="10" t="n"/>
      <c r="C53" s="11">
        <f>IF(OR($B53="",Réglages!$B$9=""),"",ROUND($B53*Réglages!$B$9,0))</f>
        <v/>
      </c>
      <c r="D53" s="12" t="n"/>
      <c r="E53" s="11">
        <f>IF($C53="","",$C53+$D53)</f>
        <v/>
      </c>
      <c r="F53" s="12" t="n"/>
      <c r="G53" s="11">
        <f>IF(OR($E53="",$F53=""),"",$F53-$E53)</f>
        <v/>
      </c>
      <c r="H53" s="13" t="n"/>
    </row>
    <row r="54">
      <c r="A54" s="9" t="n"/>
      <c r="B54" s="10" t="n"/>
      <c r="C54" s="11">
        <f>IF(OR($B54="",Réglages!$B$9=""),"",ROUND($B54*Réglages!$B$9,0))</f>
        <v/>
      </c>
      <c r="D54" s="12" t="n"/>
      <c r="E54" s="11">
        <f>IF($C54="","",$C54+$D54)</f>
        <v/>
      </c>
      <c r="F54" s="12" t="n"/>
      <c r="G54" s="11">
        <f>IF(OR($E54="",$F54=""),"",$F54-$E54)</f>
        <v/>
      </c>
      <c r="H54" s="13" t="n"/>
    </row>
    <row r="55">
      <c r="A55" s="9" t="n"/>
      <c r="B55" s="10" t="n"/>
      <c r="C55" s="11">
        <f>IF(OR($B55="",Réglages!$B$9=""),"",ROUND($B55*Réglages!$B$9,0))</f>
        <v/>
      </c>
      <c r="D55" s="12" t="n"/>
      <c r="E55" s="11">
        <f>IF($C55="","",$C55+$D55)</f>
        <v/>
      </c>
      <c r="F55" s="12" t="n"/>
      <c r="G55" s="11">
        <f>IF(OR($E55="",$F55=""),"",$F55-$E55)</f>
        <v/>
      </c>
      <c r="H55" s="13" t="n"/>
    </row>
    <row r="56">
      <c r="A56" s="9" t="n"/>
      <c r="B56" s="10" t="n"/>
      <c r="C56" s="11">
        <f>IF(OR($B56="",Réglages!$B$9=""),"",ROUND($B56*Réglages!$B$9,0))</f>
        <v/>
      </c>
      <c r="D56" s="12" t="n"/>
      <c r="E56" s="11">
        <f>IF($C56="","",$C56+$D56)</f>
        <v/>
      </c>
      <c r="F56" s="12" t="n"/>
      <c r="G56" s="11">
        <f>IF(OR($E56="",$F56=""),"",$F56-$E56)</f>
        <v/>
      </c>
      <c r="H56" s="13" t="n"/>
    </row>
    <row r="57">
      <c r="A57" s="9" t="n"/>
      <c r="B57" s="10" t="n"/>
      <c r="C57" s="11">
        <f>IF(OR($B57="",Réglages!$B$9=""),"",ROUND($B57*Réglages!$B$9,0))</f>
        <v/>
      </c>
      <c r="D57" s="12" t="n"/>
      <c r="E57" s="11">
        <f>IF($C57="","",$C57+$D57)</f>
        <v/>
      </c>
      <c r="F57" s="12" t="n"/>
      <c r="G57" s="11">
        <f>IF(OR($E57="",$F57=""),"",$F57-$E57)</f>
        <v/>
      </c>
      <c r="H57" s="13" t="n"/>
    </row>
    <row r="58">
      <c r="A58" s="9" t="n"/>
      <c r="B58" s="10" t="n"/>
      <c r="C58" s="11">
        <f>IF(OR($B58="",Réglages!$B$9=""),"",ROUND($B58*Réglages!$B$9,0))</f>
        <v/>
      </c>
      <c r="D58" s="12" t="n"/>
      <c r="E58" s="11">
        <f>IF($C58="","",$C58+$D58)</f>
        <v/>
      </c>
      <c r="F58" s="12" t="n"/>
      <c r="G58" s="11">
        <f>IF(OR($E58="",$F58=""),"",$F58-$E58)</f>
        <v/>
      </c>
      <c r="H58" s="13" t="n"/>
    </row>
    <row r="59">
      <c r="A59" s="9" t="n"/>
      <c r="B59" s="10" t="n"/>
      <c r="C59" s="11">
        <f>IF(OR($B59="",Réglages!$B$9=""),"",ROUND($B59*Réglages!$B$9,0))</f>
        <v/>
      </c>
      <c r="D59" s="12" t="n"/>
      <c r="E59" s="11">
        <f>IF($C59="","",$C59+$D59)</f>
        <v/>
      </c>
      <c r="F59" s="12" t="n"/>
      <c r="G59" s="11">
        <f>IF(OR($E59="",$F59=""),"",$F59-$E59)</f>
        <v/>
      </c>
      <c r="H59" s="13" t="n"/>
    </row>
    <row r="60">
      <c r="A60" s="9" t="n"/>
      <c r="B60" s="10" t="n"/>
      <c r="C60" s="11">
        <f>IF(OR($B60="",Réglages!$B$9=""),"",ROUND($B60*Réglages!$B$9,0))</f>
        <v/>
      </c>
      <c r="D60" s="12" t="n"/>
      <c r="E60" s="11">
        <f>IF($C60="","",$C60+$D60)</f>
        <v/>
      </c>
      <c r="F60" s="12" t="n"/>
      <c r="G60" s="11">
        <f>IF(OR($E60="",$F60=""),"",$F60-$E60)</f>
        <v/>
      </c>
      <c r="H60" s="13" t="n"/>
    </row>
    <row r="61">
      <c r="A61" s="9" t="n"/>
      <c r="B61" s="10" t="n"/>
      <c r="C61" s="11">
        <f>IF(OR($B61="",Réglages!$B$9=""),"",ROUND($B61*Réglages!$B$9,0))</f>
        <v/>
      </c>
      <c r="D61" s="12" t="n"/>
      <c r="E61" s="11">
        <f>IF($C61="","",$C61+$D61)</f>
        <v/>
      </c>
      <c r="F61" s="12" t="n"/>
      <c r="G61" s="11">
        <f>IF(OR($E61="",$F61=""),"",$F61-$E61)</f>
        <v/>
      </c>
      <c r="H61" s="13" t="n"/>
    </row>
    <row r="62">
      <c r="A62" s="9" t="n"/>
      <c r="B62" s="10" t="n"/>
      <c r="C62" s="11">
        <f>IF(OR($B62="",Réglages!$B$9=""),"",ROUND($B62*Réglages!$B$9,0))</f>
        <v/>
      </c>
      <c r="D62" s="12" t="n"/>
      <c r="E62" s="11">
        <f>IF($C62="","",$C62+$D62)</f>
        <v/>
      </c>
      <c r="F62" s="12" t="n"/>
      <c r="G62" s="11">
        <f>IF(OR($E62="",$F62=""),"",$F62-$E62)</f>
        <v/>
      </c>
      <c r="H62" s="13" t="n"/>
    </row>
    <row r="63">
      <c r="A63" s="9" t="n"/>
      <c r="B63" s="10" t="n"/>
      <c r="C63" s="11">
        <f>IF(OR($B63="",Réglages!$B$9=""),"",ROUND($B63*Réglages!$B$9,0))</f>
        <v/>
      </c>
      <c r="D63" s="12" t="n"/>
      <c r="E63" s="11">
        <f>IF($C63="","",$C63+$D63)</f>
        <v/>
      </c>
      <c r="F63" s="12" t="n"/>
      <c r="G63" s="11">
        <f>IF(OR($E63="",$F63=""),"",$F63-$E63)</f>
        <v/>
      </c>
      <c r="H63" s="13" t="n"/>
    </row>
    <row r="64">
      <c r="A64" s="9" t="n"/>
      <c r="B64" s="10" t="n"/>
      <c r="C64" s="11">
        <f>IF(OR($B64="",Réglages!$B$9=""),"",ROUND($B64*Réglages!$B$9,0))</f>
        <v/>
      </c>
      <c r="D64" s="12" t="n"/>
      <c r="E64" s="11">
        <f>IF($C64="","",$C64+$D64)</f>
        <v/>
      </c>
      <c r="F64" s="12" t="n"/>
      <c r="G64" s="11">
        <f>IF(OR($E64="",$F64=""),"",$F64-$E64)</f>
        <v/>
      </c>
      <c r="H64" s="13" t="n"/>
    </row>
    <row r="65">
      <c r="A65" s="9" t="n"/>
      <c r="B65" s="10" t="n"/>
      <c r="C65" s="11">
        <f>IF(OR($B65="",Réglages!$B$9=""),"",ROUND($B65*Réglages!$B$9,0))</f>
        <v/>
      </c>
      <c r="D65" s="12" t="n"/>
      <c r="E65" s="11">
        <f>IF($C65="","",$C65+$D65)</f>
        <v/>
      </c>
      <c r="F65" s="12" t="n"/>
      <c r="G65" s="11">
        <f>IF(OR($E65="",$F65=""),"",$F65-$E65)</f>
        <v/>
      </c>
      <c r="H65" s="13" t="n"/>
    </row>
    <row r="66">
      <c r="A66" s="9" t="n"/>
      <c r="B66" s="10" t="n"/>
      <c r="C66" s="11">
        <f>IF(OR($B66="",Réglages!$B$9=""),"",ROUND($B66*Réglages!$B$9,0))</f>
        <v/>
      </c>
      <c r="D66" s="12" t="n"/>
      <c r="E66" s="11">
        <f>IF($C66="","",$C66+$D66)</f>
        <v/>
      </c>
      <c r="F66" s="12" t="n"/>
      <c r="G66" s="11">
        <f>IF(OR($E66="",$F66=""),"",$F66-$E66)</f>
        <v/>
      </c>
      <c r="H66" s="13" t="n"/>
    </row>
    <row r="67">
      <c r="A67" s="9" t="n"/>
      <c r="B67" s="10" t="n"/>
      <c r="C67" s="11">
        <f>IF(OR($B67="",Réglages!$B$9=""),"",ROUND($B67*Réglages!$B$9,0))</f>
        <v/>
      </c>
      <c r="D67" s="12" t="n"/>
      <c r="E67" s="11">
        <f>IF($C67="","",$C67+$D67)</f>
        <v/>
      </c>
      <c r="F67" s="12" t="n"/>
      <c r="G67" s="11">
        <f>IF(OR($E67="",$F67=""),"",$F67-$E67)</f>
        <v/>
      </c>
      <c r="H67" s="13" t="n"/>
    </row>
    <row r="68">
      <c r="A68" s="9" t="n"/>
      <c r="B68" s="10" t="n"/>
      <c r="C68" s="11">
        <f>IF(OR($B68="",Réglages!$B$9=""),"",ROUND($B68*Réglages!$B$9,0))</f>
        <v/>
      </c>
      <c r="D68" s="12" t="n"/>
      <c r="E68" s="11">
        <f>IF($C68="","",$C68+$D68)</f>
        <v/>
      </c>
      <c r="F68" s="12" t="n"/>
      <c r="G68" s="11">
        <f>IF(OR($E68="",$F68=""),"",$F68-$E68)</f>
        <v/>
      </c>
      <c r="H68" s="13" t="n"/>
    </row>
    <row r="69">
      <c r="A69" s="9" t="n"/>
      <c r="B69" s="10" t="n"/>
      <c r="C69" s="11">
        <f>IF(OR($B69="",Réglages!$B$9=""),"",ROUND($B69*Réglages!$B$9,0))</f>
        <v/>
      </c>
      <c r="D69" s="12" t="n"/>
      <c r="E69" s="11">
        <f>IF($C69="","",$C69+$D69)</f>
        <v/>
      </c>
      <c r="F69" s="12" t="n"/>
      <c r="G69" s="11">
        <f>IF(OR($E69="",$F69=""),"",$F69-$E69)</f>
        <v/>
      </c>
      <c r="H69" s="13" t="n"/>
    </row>
    <row r="70">
      <c r="A70" s="9" t="n"/>
      <c r="B70" s="10" t="n"/>
      <c r="C70" s="11">
        <f>IF(OR($B70="",Réglages!$B$9=""),"",ROUND($B70*Réglages!$B$9,0))</f>
        <v/>
      </c>
      <c r="D70" s="12" t="n"/>
      <c r="E70" s="11">
        <f>IF($C70="","",$C70+$D70)</f>
        <v/>
      </c>
      <c r="F70" s="12" t="n"/>
      <c r="G70" s="11">
        <f>IF(OR($E70="",$F70=""),"",$F70-$E70)</f>
        <v/>
      </c>
      <c r="H70" s="13" t="n"/>
    </row>
    <row r="71">
      <c r="A71" s="9" t="n"/>
      <c r="B71" s="10" t="n"/>
      <c r="C71" s="11">
        <f>IF(OR($B71="",Réglages!$B$9=""),"",ROUND($B71*Réglages!$B$9,0))</f>
        <v/>
      </c>
      <c r="D71" s="12" t="n"/>
      <c r="E71" s="11">
        <f>IF($C71="","",$C71+$D71)</f>
        <v/>
      </c>
      <c r="F71" s="12" t="n"/>
      <c r="G71" s="11">
        <f>IF(OR($E71="",$F71=""),"",$F71-$E71)</f>
        <v/>
      </c>
      <c r="H71" s="13" t="n"/>
    </row>
    <row r="72">
      <c r="A72" s="9" t="n"/>
      <c r="B72" s="10" t="n"/>
      <c r="C72" s="11">
        <f>IF(OR($B72="",Réglages!$B$9=""),"",ROUND($B72*Réglages!$B$9,0))</f>
        <v/>
      </c>
      <c r="D72" s="12" t="n"/>
      <c r="E72" s="11">
        <f>IF($C72="","",$C72+$D72)</f>
        <v/>
      </c>
      <c r="F72" s="12" t="n"/>
      <c r="G72" s="11">
        <f>IF(OR($E72="",$F72=""),"",$F72-$E72)</f>
        <v/>
      </c>
      <c r="H72" s="13" t="n"/>
    </row>
    <row r="73">
      <c r="A73" s="9" t="n"/>
      <c r="B73" s="10" t="n"/>
      <c r="C73" s="11">
        <f>IF(OR($B73="",Réglages!$B$9=""),"",ROUND($B73*Réglages!$B$9,0))</f>
        <v/>
      </c>
      <c r="D73" s="12" t="n"/>
      <c r="E73" s="11">
        <f>IF($C73="","",$C73+$D73)</f>
        <v/>
      </c>
      <c r="F73" s="12" t="n"/>
      <c r="G73" s="11">
        <f>IF(OR($E73="",$F73=""),"",$F73-$E73)</f>
        <v/>
      </c>
      <c r="H73" s="13" t="n"/>
    </row>
    <row r="74">
      <c r="A74" s="9" t="n"/>
      <c r="B74" s="10" t="n"/>
      <c r="C74" s="11">
        <f>IF(OR($B74="",Réglages!$B$9=""),"",ROUND($B74*Réglages!$B$9,0))</f>
        <v/>
      </c>
      <c r="D74" s="12" t="n"/>
      <c r="E74" s="11">
        <f>IF($C74="","",$C74+$D74)</f>
        <v/>
      </c>
      <c r="F74" s="12" t="n"/>
      <c r="G74" s="11">
        <f>IF(OR($E74="",$F74=""),"",$F74-$E74)</f>
        <v/>
      </c>
      <c r="H74" s="13" t="n"/>
    </row>
    <row r="75">
      <c r="A75" s="9" t="n"/>
      <c r="B75" s="10" t="n"/>
      <c r="C75" s="11">
        <f>IF(OR($B75="",Réglages!$B$9=""),"",ROUND($B75*Réglages!$B$9,0))</f>
        <v/>
      </c>
      <c r="D75" s="12" t="n"/>
      <c r="E75" s="11">
        <f>IF($C75="","",$C75+$D75)</f>
        <v/>
      </c>
      <c r="F75" s="12" t="n"/>
      <c r="G75" s="11">
        <f>IF(OR($E75="",$F75=""),"",$F75-$E75)</f>
        <v/>
      </c>
      <c r="H75" s="13" t="n"/>
    </row>
    <row r="76">
      <c r="A76" s="9" t="n"/>
      <c r="B76" s="10" t="n"/>
      <c r="C76" s="11">
        <f>IF(OR($B76="",Réglages!$B$9=""),"",ROUND($B76*Réglages!$B$9,0))</f>
        <v/>
      </c>
      <c r="D76" s="12" t="n"/>
      <c r="E76" s="11">
        <f>IF($C76="","",$C76+$D76)</f>
        <v/>
      </c>
      <c r="F76" s="12" t="n"/>
      <c r="G76" s="11">
        <f>IF(OR($E76="",$F76=""),"",$F76-$E76)</f>
        <v/>
      </c>
      <c r="H76" s="13" t="n"/>
    </row>
    <row r="77">
      <c r="A77" s="9" t="n"/>
      <c r="B77" s="10" t="n"/>
      <c r="C77" s="11">
        <f>IF(OR($B77="",Réglages!$B$9=""),"",ROUND($B77*Réglages!$B$9,0))</f>
        <v/>
      </c>
      <c r="D77" s="12" t="n"/>
      <c r="E77" s="11">
        <f>IF($C77="","",$C77+$D77)</f>
        <v/>
      </c>
      <c r="F77" s="12" t="n"/>
      <c r="G77" s="11">
        <f>IF(OR($E77="",$F77=""),"",$F77-$E77)</f>
        <v/>
      </c>
      <c r="H77" s="13" t="n"/>
    </row>
    <row r="78">
      <c r="A78" s="9" t="n"/>
      <c r="B78" s="10" t="n"/>
      <c r="C78" s="11">
        <f>IF(OR($B78="",Réglages!$B$9=""),"",ROUND($B78*Réglages!$B$9,0))</f>
        <v/>
      </c>
      <c r="D78" s="12" t="n"/>
      <c r="E78" s="11">
        <f>IF($C78="","",$C78+$D78)</f>
        <v/>
      </c>
      <c r="F78" s="12" t="n"/>
      <c r="G78" s="11">
        <f>IF(OR($E78="",$F78=""),"",$F78-$E78)</f>
        <v/>
      </c>
      <c r="H78" s="13" t="n"/>
    </row>
    <row r="79">
      <c r="A79" s="9" t="n"/>
      <c r="B79" s="10" t="n"/>
      <c r="C79" s="11">
        <f>IF(OR($B79="",Réglages!$B$9=""),"",ROUND($B79*Réglages!$B$9,0))</f>
        <v/>
      </c>
      <c r="D79" s="12" t="n"/>
      <c r="E79" s="11">
        <f>IF($C79="","",$C79+$D79)</f>
        <v/>
      </c>
      <c r="F79" s="12" t="n"/>
      <c r="G79" s="11">
        <f>IF(OR($E79="",$F79=""),"",$F79-$E79)</f>
        <v/>
      </c>
      <c r="H79" s="13" t="n"/>
    </row>
    <row r="80">
      <c r="A80" s="9" t="n"/>
      <c r="B80" s="10" t="n"/>
      <c r="C80" s="11">
        <f>IF(OR($B80="",Réglages!$B$9=""),"",ROUND($B80*Réglages!$B$9,0))</f>
        <v/>
      </c>
      <c r="D80" s="12" t="n"/>
      <c r="E80" s="11">
        <f>IF($C80="","",$C80+$D80)</f>
        <v/>
      </c>
      <c r="F80" s="12" t="n"/>
      <c r="G80" s="11">
        <f>IF(OR($E80="",$F80=""),"",$F80-$E80)</f>
        <v/>
      </c>
      <c r="H80" s="13" t="n"/>
    </row>
    <row r="81">
      <c r="A81" s="9" t="n"/>
      <c r="B81" s="10" t="n"/>
      <c r="C81" s="11">
        <f>IF(OR($B81="",Réglages!$B$9=""),"",ROUND($B81*Réglages!$B$9,0))</f>
        <v/>
      </c>
      <c r="D81" s="12" t="n"/>
      <c r="E81" s="11">
        <f>IF($C81="","",$C81+$D81)</f>
        <v/>
      </c>
      <c r="F81" s="12" t="n"/>
      <c r="G81" s="11">
        <f>IF(OR($E81="",$F81=""),"",$F81-$E81)</f>
        <v/>
      </c>
      <c r="H81" s="13" t="n"/>
    </row>
    <row r="82">
      <c r="A82" s="9" t="n"/>
      <c r="B82" s="10" t="n"/>
      <c r="C82" s="11">
        <f>IF(OR($B82="",Réglages!$B$9=""),"",ROUND($B82*Réglages!$B$9,0))</f>
        <v/>
      </c>
      <c r="D82" s="12" t="n"/>
      <c r="E82" s="11">
        <f>IF($C82="","",$C82+$D82)</f>
        <v/>
      </c>
      <c r="F82" s="12" t="n"/>
      <c r="G82" s="11">
        <f>IF(OR($E82="",$F82=""),"",$F82-$E82)</f>
        <v/>
      </c>
      <c r="H82" s="13" t="n"/>
    </row>
    <row r="83">
      <c r="A83" s="9" t="n"/>
      <c r="B83" s="10" t="n"/>
      <c r="C83" s="11">
        <f>IF(OR($B83="",Réglages!$B$9=""),"",ROUND($B83*Réglages!$B$9,0))</f>
        <v/>
      </c>
      <c r="D83" s="12" t="n"/>
      <c r="E83" s="11">
        <f>IF($C83="","",$C83+$D83)</f>
        <v/>
      </c>
      <c r="F83" s="12" t="n"/>
      <c r="G83" s="11">
        <f>IF(OR($E83="",$F83=""),"",$F83-$E83)</f>
        <v/>
      </c>
      <c r="H83" s="13" t="n"/>
    </row>
    <row r="84">
      <c r="A84" s="9" t="n"/>
      <c r="B84" s="10" t="n"/>
      <c r="C84" s="11">
        <f>IF(OR($B84="",Réglages!$B$9=""),"",ROUND($B84*Réglages!$B$9,0))</f>
        <v/>
      </c>
      <c r="D84" s="12" t="n"/>
      <c r="E84" s="11">
        <f>IF($C84="","",$C84+$D84)</f>
        <v/>
      </c>
      <c r="F84" s="12" t="n"/>
      <c r="G84" s="11">
        <f>IF(OR($E84="",$F84=""),"",$F84-$E84)</f>
        <v/>
      </c>
      <c r="H84" s="13" t="n"/>
    </row>
    <row r="85">
      <c r="A85" s="9" t="n"/>
      <c r="B85" s="10" t="n"/>
      <c r="C85" s="11">
        <f>IF(OR($B85="",Réglages!$B$9=""),"",ROUND($B85*Réglages!$B$9,0))</f>
        <v/>
      </c>
      <c r="D85" s="12" t="n"/>
      <c r="E85" s="11">
        <f>IF($C85="","",$C85+$D85)</f>
        <v/>
      </c>
      <c r="F85" s="12" t="n"/>
      <c r="G85" s="11">
        <f>IF(OR($E85="",$F85=""),"",$F85-$E85)</f>
        <v/>
      </c>
      <c r="H85" s="13" t="n"/>
    </row>
    <row r="86">
      <c r="A86" s="9" t="n"/>
      <c r="B86" s="10" t="n"/>
      <c r="C86" s="11">
        <f>IF(OR($B86="",Réglages!$B$9=""),"",ROUND($B86*Réglages!$B$9,0))</f>
        <v/>
      </c>
      <c r="D86" s="12" t="n"/>
      <c r="E86" s="11">
        <f>IF($C86="","",$C86+$D86)</f>
        <v/>
      </c>
      <c r="F86" s="12" t="n"/>
      <c r="G86" s="11">
        <f>IF(OR($E86="",$F86=""),"",$F86-$E86)</f>
        <v/>
      </c>
      <c r="H86" s="13" t="n"/>
    </row>
    <row r="87">
      <c r="A87" s="9" t="n"/>
      <c r="B87" s="10" t="n"/>
      <c r="C87" s="11">
        <f>IF(OR($B87="",Réglages!$B$9=""),"",ROUND($B87*Réglages!$B$9,0))</f>
        <v/>
      </c>
      <c r="D87" s="12" t="n"/>
      <c r="E87" s="11">
        <f>IF($C87="","",$C87+$D87)</f>
        <v/>
      </c>
      <c r="F87" s="12" t="n"/>
      <c r="G87" s="11">
        <f>IF(OR($E87="",$F87=""),"",$F87-$E87)</f>
        <v/>
      </c>
      <c r="H87" s="13" t="n"/>
    </row>
    <row r="88">
      <c r="A88" s="9" t="n"/>
      <c r="B88" s="10" t="n"/>
      <c r="C88" s="11">
        <f>IF(OR($B88="",Réglages!$B$9=""),"",ROUND($B88*Réglages!$B$9,0))</f>
        <v/>
      </c>
      <c r="D88" s="12" t="n"/>
      <c r="E88" s="11">
        <f>IF($C88="","",$C88+$D88)</f>
        <v/>
      </c>
      <c r="F88" s="12" t="n"/>
      <c r="G88" s="11">
        <f>IF(OR($E88="",$F88=""),"",$F88-$E88)</f>
        <v/>
      </c>
      <c r="H88" s="13" t="n"/>
    </row>
    <row r="89">
      <c r="A89" s="9" t="n"/>
      <c r="B89" s="10" t="n"/>
      <c r="C89" s="11">
        <f>IF(OR($B89="",Réglages!$B$9=""),"",ROUND($B89*Réglages!$B$9,0))</f>
        <v/>
      </c>
      <c r="D89" s="12" t="n"/>
      <c r="E89" s="11">
        <f>IF($C89="","",$C89+$D89)</f>
        <v/>
      </c>
      <c r="F89" s="12" t="n"/>
      <c r="G89" s="11">
        <f>IF(OR($E89="",$F89=""),"",$F89-$E89)</f>
        <v/>
      </c>
      <c r="H89" s="13" t="n"/>
    </row>
    <row r="90">
      <c r="A90" s="9" t="n"/>
      <c r="B90" s="10" t="n"/>
      <c r="C90" s="11">
        <f>IF(OR($B90="",Réglages!$B$9=""),"",ROUND($B90*Réglages!$B$9,0))</f>
        <v/>
      </c>
      <c r="D90" s="12" t="n"/>
      <c r="E90" s="11">
        <f>IF($C90="","",$C90+$D90)</f>
        <v/>
      </c>
      <c r="F90" s="12" t="n"/>
      <c r="G90" s="11">
        <f>IF(OR($E90="",$F90=""),"",$F90-$E90)</f>
        <v/>
      </c>
      <c r="H90" s="13" t="n"/>
    </row>
    <row r="91">
      <c r="A91" s="9" t="n"/>
      <c r="B91" s="10" t="n"/>
      <c r="C91" s="11">
        <f>IF(OR($B91="",Réglages!$B$9=""),"",ROUND($B91*Réglages!$B$9,0))</f>
        <v/>
      </c>
      <c r="D91" s="12" t="n"/>
      <c r="E91" s="11">
        <f>IF($C91="","",$C91+$D91)</f>
        <v/>
      </c>
      <c r="F91" s="12" t="n"/>
      <c r="G91" s="11">
        <f>IF(OR($E91="",$F91=""),"",$F91-$E91)</f>
        <v/>
      </c>
      <c r="H91" s="13" t="n"/>
    </row>
    <row r="92">
      <c r="A92" s="9" t="n"/>
      <c r="B92" s="10" t="n"/>
      <c r="C92" s="11">
        <f>IF(OR($B92="",Réglages!$B$9=""),"",ROUND($B92*Réglages!$B$9,0))</f>
        <v/>
      </c>
      <c r="D92" s="12" t="n"/>
      <c r="E92" s="11">
        <f>IF($C92="","",$C92+$D92)</f>
        <v/>
      </c>
      <c r="F92" s="12" t="n"/>
      <c r="G92" s="11">
        <f>IF(OR($E92="",$F92=""),"",$F92-$E92)</f>
        <v/>
      </c>
      <c r="H92" s="13" t="n"/>
    </row>
    <row r="93">
      <c r="A93" s="9" t="n"/>
      <c r="B93" s="10" t="n"/>
      <c r="C93" s="11">
        <f>IF(OR($B93="",Réglages!$B$9=""),"",ROUND($B93*Réglages!$B$9,0))</f>
        <v/>
      </c>
      <c r="D93" s="12" t="n"/>
      <c r="E93" s="11">
        <f>IF($C93="","",$C93+$D93)</f>
        <v/>
      </c>
      <c r="F93" s="12" t="n"/>
      <c r="G93" s="11">
        <f>IF(OR($E93="",$F93=""),"",$F93-$E93)</f>
        <v/>
      </c>
      <c r="H93" s="13" t="n"/>
    </row>
    <row r="94">
      <c r="A94" s="9" t="n"/>
      <c r="B94" s="10" t="n"/>
      <c r="C94" s="11">
        <f>IF(OR($B94="",Réglages!$B$9=""),"",ROUND($B94*Réglages!$B$9,0))</f>
        <v/>
      </c>
      <c r="D94" s="12" t="n"/>
      <c r="E94" s="11">
        <f>IF($C94="","",$C94+$D94)</f>
        <v/>
      </c>
      <c r="F94" s="12" t="n"/>
      <c r="G94" s="11">
        <f>IF(OR($E94="",$F94=""),"",$F94-$E94)</f>
        <v/>
      </c>
      <c r="H94" s="13" t="n"/>
    </row>
    <row r="95">
      <c r="A95" s="9" t="n"/>
      <c r="B95" s="10" t="n"/>
      <c r="C95" s="11">
        <f>IF(OR($B95="",Réglages!$B$9=""),"",ROUND($B95*Réglages!$B$9,0))</f>
        <v/>
      </c>
      <c r="D95" s="12" t="n"/>
      <c r="E95" s="11">
        <f>IF($C95="","",$C95+$D95)</f>
        <v/>
      </c>
      <c r="F95" s="12" t="n"/>
      <c r="G95" s="11">
        <f>IF(OR($E95="",$F95=""),"",$F95-$E95)</f>
        <v/>
      </c>
      <c r="H95" s="13" t="n"/>
    </row>
    <row r="96">
      <c r="A96" s="9" t="n"/>
      <c r="B96" s="10" t="n"/>
      <c r="C96" s="11">
        <f>IF(OR($B96="",Réglages!$B$9=""),"",ROUND($B96*Réglages!$B$9,0))</f>
        <v/>
      </c>
      <c r="D96" s="12" t="n"/>
      <c r="E96" s="11">
        <f>IF($C96="","",$C96+$D96)</f>
        <v/>
      </c>
      <c r="F96" s="12" t="n"/>
      <c r="G96" s="11">
        <f>IF(OR($E96="",$F96=""),"",$F96-$E96)</f>
        <v/>
      </c>
      <c r="H96" s="13" t="n"/>
    </row>
    <row r="97">
      <c r="A97" s="9" t="n"/>
      <c r="B97" s="10" t="n"/>
      <c r="C97" s="11">
        <f>IF(OR($B97="",Réglages!$B$9=""),"",ROUND($B97*Réglages!$B$9,0))</f>
        <v/>
      </c>
      <c r="D97" s="12" t="n"/>
      <c r="E97" s="11">
        <f>IF($C97="","",$C97+$D97)</f>
        <v/>
      </c>
      <c r="F97" s="12" t="n"/>
      <c r="G97" s="11">
        <f>IF(OR($E97="",$F97=""),"",$F97-$E97)</f>
        <v/>
      </c>
      <c r="H97" s="13" t="n"/>
    </row>
    <row r="98">
      <c r="A98" s="9" t="n"/>
      <c r="B98" s="10" t="n"/>
      <c r="C98" s="11">
        <f>IF(OR($B98="",Réglages!$B$9=""),"",ROUND($B98*Réglages!$B$9,0))</f>
        <v/>
      </c>
      <c r="D98" s="12" t="n"/>
      <c r="E98" s="11">
        <f>IF($C98="","",$C98+$D98)</f>
        <v/>
      </c>
      <c r="F98" s="12" t="n"/>
      <c r="G98" s="11">
        <f>IF(OR($E98="",$F98=""),"",$F98-$E98)</f>
        <v/>
      </c>
      <c r="H98" s="13" t="n"/>
    </row>
    <row r="99">
      <c r="A99" s="9" t="n"/>
      <c r="B99" s="10" t="n"/>
      <c r="C99" s="11">
        <f>IF(OR($B99="",Réglages!$B$9=""),"",ROUND($B99*Réglages!$B$9,0))</f>
        <v/>
      </c>
      <c r="D99" s="12" t="n"/>
      <c r="E99" s="11">
        <f>IF($C99="","",$C99+$D99)</f>
        <v/>
      </c>
      <c r="F99" s="12" t="n"/>
      <c r="G99" s="11">
        <f>IF(OR($E99="",$F99=""),"",$F99-$E99)</f>
        <v/>
      </c>
      <c r="H99" s="13" t="n"/>
    </row>
    <row r="100">
      <c r="A100" s="9" t="n"/>
      <c r="B100" s="10" t="n"/>
      <c r="C100" s="11">
        <f>IF(OR($B100="",Réglages!$B$9=""),"",ROUND($B100*Réglages!$B$9,0))</f>
        <v/>
      </c>
      <c r="D100" s="12" t="n"/>
      <c r="E100" s="11">
        <f>IF($C100="","",$C100+$D100)</f>
        <v/>
      </c>
      <c r="F100" s="12" t="n"/>
      <c r="G100" s="11">
        <f>IF(OR($E100="",$F100=""),"",$F100-$E100)</f>
        <v/>
      </c>
      <c r="H100" s="13" t="n"/>
    </row>
    <row r="101">
      <c r="A101" s="9" t="n"/>
      <c r="B101" s="10" t="n"/>
      <c r="C101" s="11">
        <f>IF(OR($B101="",Réglages!$B$9=""),"",ROUND($B101*Réglages!$B$9,0))</f>
        <v/>
      </c>
      <c r="D101" s="12" t="n"/>
      <c r="E101" s="11">
        <f>IF($C101="","",$C101+$D101)</f>
        <v/>
      </c>
      <c r="F101" s="12" t="n"/>
      <c r="G101" s="11">
        <f>IF(OR($E101="",$F101=""),"",$F101-$E101)</f>
        <v/>
      </c>
      <c r="H101" s="13" t="n"/>
    </row>
  </sheetData>
  <conditionalFormatting sqref="B2:B101">
    <cfRule type="expression" priority="1" dxfId="0">
      <formula>AND($B2&lt;&gt;"",NOT(ISNUMBER($B2)))</formula>
    </cfRule>
  </conditionalFormatting>
  <conditionalFormatting sqref="D2:D101">
    <cfRule type="expression" priority="2" dxfId="0">
      <formula>AND($D2&lt;&gt;"",NOT(ISNUMBER($D2)))</formula>
    </cfRule>
  </conditionalFormatting>
  <conditionalFormatting sqref="F2:F101">
    <cfRule type="expression" priority="3" dxfId="0">
      <formula>AND($F2&lt;&gt;"",NOT(ISNUMBER($F2)))</formula>
    </cfRule>
  </conditionalFormatting>
  <conditionalFormatting sqref="H2:H101">
    <cfRule type="expression" priority="4" dxfId="0">
      <formula>AND($H2&lt;&gt;"",NOT(ISNUMBER($H2)))</formula>
    </cfRule>
  </conditionalFormatting>
  <conditionalFormatting sqref="G2:G101">
    <cfRule type="expression" priority="5" dxfId="0">
      <formula>AND(ISNUMBER($G2),$G2&lt;0)</formula>
    </cfRule>
  </conditionalFormatting>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B6"/>
  <sheetViews>
    <sheetView workbookViewId="0">
      <selection activeCell="A1" sqref="A1"/>
    </sheetView>
  </sheetViews>
  <sheetFormatPr baseColWidth="8" defaultRowHeight="15"/>
  <cols>
    <col width="56" customWidth="1" min="1" max="1"/>
    <col width="16" customWidth="1" min="2" max="2"/>
  </cols>
  <sheetData>
    <row r="1">
      <c r="A1" s="1" t="inlineStr">
        <is>
          <t>Vos prix en un coup d'œil</t>
        </is>
      </c>
    </row>
    <row r="3">
      <c r="A3" s="9" t="inlineStr">
        <is>
          <t>Coût d'une journée (FCFA)</t>
        </is>
      </c>
      <c r="B3" s="14">
        <f>Réglages!$B$8</f>
        <v/>
      </c>
    </row>
    <row r="4">
      <c r="A4" s="9" t="inlineStr">
        <is>
          <t>Coût d'une heure (FCFA)</t>
        </is>
      </c>
      <c r="B4" s="14">
        <f>Réglages!$B$9</f>
        <v/>
      </c>
    </row>
    <row r="5">
      <c r="A5" s="9" t="inlineStr">
        <is>
          <t>Prestations</t>
        </is>
      </c>
      <c r="B5" s="15">
        <f>COUNTA(Prestations!$A$2:$A$101)</f>
        <v/>
      </c>
    </row>
    <row r="6">
      <c r="A6" s="9" t="inlineStr">
        <is>
          <t>Prestations vendues sous leur prix plancher</t>
        </is>
      </c>
      <c r="B6" s="15">
        <f>COUNTIF(Prestations!$G$2:$G$101,"&lt;0")</f>
        <v/>
      </c>
    </row>
  </sheetData>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H20"/>
  <sheetViews>
    <sheetView workbookViewId="0">
      <selection activeCell="A1" sqref="A1"/>
    </sheetView>
  </sheetViews>
  <sheetFormatPr baseColWidth="8" defaultRowHeight="15"/>
  <cols>
    <col width="28" customWidth="1" min="1" max="1"/>
    <col width="10" customWidth="1" min="2" max="2"/>
    <col width="13" customWidth="1" min="3" max="3"/>
    <col width="11" customWidth="1" min="4" max="4"/>
    <col width="12" customWidth="1" min="5" max="5"/>
    <col width="12" customWidth="1" min="6" max="6"/>
    <col width="11" customWidth="1" min="7" max="7"/>
    <col width="11" customWidth="1" min="8" max="8"/>
  </cols>
  <sheetData>
    <row r="1" ht="16" customHeight="1">
      <c r="A1" s="1" t="inlineStr">
        <is>
          <t>Grille tarifaire : mode d'emploi</t>
        </is>
      </c>
    </row>
    <row r="2" ht="16" customHeight="1"/>
    <row r="3" ht="16" customHeight="1">
      <c r="A3" s="16" t="inlineStr">
        <is>
          <t>COMMENT REMPLIR :</t>
        </is>
      </c>
    </row>
    <row r="4" ht="48" customHeight="1">
      <c r="A4" s="17" t="inlineStr">
        <is>
          <t>1. Onglet « Réglages » : écrivez dans les cases jaunes le revenu que vous visez, vos charges du mois, vos jours facturables et vos heures de création par jour. Le coût d'une journée et d'une heure se calcule seul.</t>
        </is>
      </c>
    </row>
    <row r="5" ht="32" customHeight="1">
      <c r="A5" s="17" t="inlineStr">
        <is>
          <t>2. Onglet « Prestations » : une ligne par prestation. Écrivez le temps que vous y passez vraiment, modifications comprises, et vos frais : impression d'essai, achat d'une image.</t>
        </is>
      </c>
    </row>
    <row r="6" ht="32" customHeight="1">
      <c r="A6" s="17" t="inlineStr">
        <is>
          <t>3. Le prix plancher se calcule seul : le coût de votre temps, plus vos frais. En dessous, vous travaillez à perte.</t>
        </is>
      </c>
    </row>
    <row r="7" ht="16" customHeight="1">
      <c r="A7" s="17" t="inlineStr">
        <is>
          <t>4. Écrivez le prix que vous affichez. L'écart s'affiche en rouge quand votre prix est sous le plancher.</t>
        </is>
      </c>
    </row>
    <row r="8" ht="16" customHeight="1">
      <c r="A8" s="17" t="inlineStr"/>
    </row>
    <row r="9" ht="16" customHeight="1">
      <c r="A9" s="16" t="inlineStr">
        <is>
          <t>À SAVOIR :</t>
        </is>
      </c>
    </row>
    <row r="10" ht="32" customHeight="1">
      <c r="A10" s="17" t="inlineStr">
        <is>
          <t>Tous les chiffres sont les vôtres : ce tableau ne connaît pas les prix du marché et ne dit pas ce que vos clients accepteront de payer. Il dit seulement ce que chaque prestation vous coûte.</t>
        </is>
      </c>
    </row>
    <row r="11" ht="16" customHeight="1">
      <c r="A11" s="17" t="inlineStr"/>
    </row>
    <row r="12" ht="16" customHeight="1">
      <c r="A12" s="16" t="inlineStr">
        <is>
          <t>EXEMPLE (ne modifiez pas cet exemple, il sert seulement de modèle) :</t>
        </is>
      </c>
    </row>
    <row r="13" ht="32" customHeight="1">
      <c r="A13" s="17" t="inlineStr">
        <is>
          <t>Réglages de l'exemple : 110 000 FCFA visés, 15 000 FCFA de charges, 20 jours facturables, 5 heures par jour. Coût d'une journée : 125 000 ÷ 20 = 6 250 FCFA. Coût d'une heure : 6 250 ÷ 5 = 1 250 FCFA.</t>
        </is>
      </c>
    </row>
    <row r="14" ht="46" customHeight="1">
      <c r="A14" s="8" t="inlineStr">
        <is>
          <t>Prestation</t>
        </is>
      </c>
      <c r="B14" s="8" t="inlineStr">
        <is>
          <t>Temps passé (heures)</t>
        </is>
      </c>
      <c r="C14" s="8" t="inlineStr">
        <is>
          <t>Coût de votre temps (FCFA)</t>
        </is>
      </c>
      <c r="D14" s="8" t="inlineStr">
        <is>
          <t>Frais (FCFA)</t>
        </is>
      </c>
      <c r="E14" s="8" t="inlineStr">
        <is>
          <t>Prix plancher (FCFA)</t>
        </is>
      </c>
      <c r="F14" s="8" t="inlineStr">
        <is>
          <t>Votre prix affiché (FCFA)</t>
        </is>
      </c>
      <c r="G14" s="8" t="inlineStr">
        <is>
          <t>Écart (FCFA)</t>
        </is>
      </c>
      <c r="H14" s="8" t="inlineStr">
        <is>
          <t>Modifications comprises</t>
        </is>
      </c>
    </row>
    <row r="15" ht="30" customHeight="1">
      <c r="A15" s="9" t="inlineStr">
        <is>
          <t>Logo</t>
        </is>
      </c>
      <c r="B15" s="12" t="n">
        <v>12</v>
      </c>
      <c r="C15" s="11">
        <f>B15*1250</f>
        <v/>
      </c>
      <c r="D15" s="12" t="n">
        <v>0</v>
      </c>
      <c r="E15" s="11">
        <f>C15+D15</f>
        <v/>
      </c>
      <c r="F15" s="12" t="n">
        <v>22500</v>
      </c>
      <c r="G15" s="11">
        <f>F15-E15</f>
        <v/>
      </c>
      <c r="H15" s="13" t="n">
        <v>2</v>
      </c>
    </row>
    <row r="16" ht="30" customHeight="1">
      <c r="A16" s="9" t="inlineStr">
        <is>
          <t>Affiche d'événement</t>
        </is>
      </c>
      <c r="B16" s="12" t="n">
        <v>3</v>
      </c>
      <c r="C16" s="11">
        <f>B16*1250</f>
        <v/>
      </c>
      <c r="D16" s="12" t="n">
        <v>0</v>
      </c>
      <c r="E16" s="11">
        <f>C16+D16</f>
        <v/>
      </c>
      <c r="F16" s="12" t="n">
        <v>4500</v>
      </c>
      <c r="G16" s="11">
        <f>F16-E16</f>
        <v/>
      </c>
      <c r="H16" s="13" t="n">
        <v>2</v>
      </c>
    </row>
    <row r="18" ht="34" customHeight="1">
      <c r="A18" s="17" t="inlineStr">
        <is>
          <t>Dans cet exemple : le logo demande 12 heures, soit 15 000 FCFA de temps. Affiché à 22 500 FCFA, il laisse 7 500 FCFA au-dessus du plancher. L'affiche demande 3 heures, soit 3 750 FCFA : affichée à 4 500 FCFA, elle laisse 750 FCFA.</t>
        </is>
      </c>
    </row>
    <row r="20">
      <c r="A20" s="18" t="inlineStr">
        <is>
          <t>Document du kit « Graphisme » d'AI WORK KIT.</t>
        </is>
      </c>
    </row>
  </sheetData>
  <mergeCells count="15">
    <mergeCell ref="A9:H9"/>
    <mergeCell ref="A4:H4"/>
    <mergeCell ref="A18:H18"/>
    <mergeCell ref="A3:H3"/>
    <mergeCell ref="A12:H12"/>
    <mergeCell ref="A1:H1"/>
    <mergeCell ref="A7:H7"/>
    <mergeCell ref="A20:H20"/>
    <mergeCell ref="A2:H2"/>
    <mergeCell ref="A10:H10"/>
    <mergeCell ref="A13:H13"/>
    <mergeCell ref="A11:H11"/>
    <mergeCell ref="A5:H5"/>
    <mergeCell ref="A8:H8"/>
    <mergeCell ref="A6:H6"/>
  </mergeCell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2026-10-04T15:33:42Z</dcterms:created>
  <dcterms:modified xmlns:dcterms="http://purl.org/dc/terms/" xmlns:xsi="http://www.w3.org/2001/XMLSchema-instance" xsi:type="dcterms:W3CDTF">2026-10-04T15:33:42Z</dcterms:modified>
</cp:coreProperties>
</file>