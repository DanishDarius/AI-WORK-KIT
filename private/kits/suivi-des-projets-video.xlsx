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3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24" customWidth="1" min="3" max="3"/>
    <col width="12" customWidth="1" min="4" max="4"/>
    <col width="12" customWidth="1" min="5" max="5"/>
    <col width="12" customWidth="1" min="6" max="6"/>
    <col width="10" customWidth="1" min="7" max="7"/>
    <col width="9" customWidth="1" min="8" max="8"/>
    <col width="10" customWidth="1" min="9" max="9"/>
    <col width="13" customWidth="1" min="10" max="10"/>
    <col width="12" customWidth="1" min="11" max="11"/>
    <col width="9" customWidth="1" min="12" max="12"/>
  </cols>
  <sheetData>
    <row r="1" ht="52" customHeight="1">
      <c r="A1" s="1" t="inlineStr">
        <is>
          <t>N°</t>
        </is>
      </c>
      <c r="B1" s="1" t="inlineStr">
        <is>
          <t>Client</t>
        </is>
      </c>
      <c r="C1" s="1" t="inlineStr">
        <is>
          <t>Vidéo à livrer</t>
        </is>
      </c>
      <c r="D1" s="1" t="inlineStr">
        <is>
          <t>Montant du devis (FCFA)</t>
        </is>
      </c>
      <c r="E1" s="1" t="inlineStr">
        <is>
          <t>Déjà reçu (FCFA)</t>
        </is>
      </c>
      <c r="F1" s="1" t="inlineStr">
        <is>
          <t>Reste à recevoir (FCFA)</t>
        </is>
      </c>
      <c r="G1" s="1" t="inlineStr">
        <is>
          <t>Versions comprises</t>
        </is>
      </c>
      <c r="H1" s="1" t="inlineStr">
        <is>
          <t>Versions livrées</t>
        </is>
      </c>
      <c r="I1" s="1" t="inlineStr">
        <is>
          <t>Versions restantes</t>
        </is>
      </c>
      <c r="J1" s="1" t="inlineStr">
        <is>
          <t>État</t>
        </is>
      </c>
      <c r="K1" s="1" t="inlineStr">
        <is>
          <t>Échéance</t>
        </is>
      </c>
      <c r="L1" s="1" t="inlineStr">
        <is>
          <t>Jours restants</t>
        </is>
      </c>
    </row>
    <row r="2">
      <c r="A2" s="2" t="n"/>
      <c r="B2" s="2" t="n"/>
      <c r="C2" s="2" t="n"/>
      <c r="D2" s="3" t="n"/>
      <c r="E2" s="3" t="n"/>
      <c r="F2" s="4">
        <f>IF($D2="","",IF($J2="Soldé",0,$D2-$E2))</f>
        <v/>
      </c>
      <c r="G2" s="5" t="n"/>
      <c r="H2" s="5" t="n"/>
      <c r="I2" s="6">
        <f>IF($G2="","",$G2-$H2)</f>
        <v/>
      </c>
      <c r="J2" s="2" t="n"/>
      <c r="K2" s="7" t="n"/>
      <c r="L2" s="6">
        <f>IF(OR($K2="",$J2="Livré",$J2="Soldé"),"",$K2-TODAY())</f>
        <v/>
      </c>
    </row>
    <row r="3">
      <c r="A3" s="2" t="n"/>
      <c r="B3" s="2" t="n"/>
      <c r="C3" s="2" t="n"/>
      <c r="D3" s="3" t="n"/>
      <c r="E3" s="3" t="n"/>
      <c r="F3" s="4">
        <f>IF($D3="","",IF($J3="Soldé",0,$D3-$E3))</f>
        <v/>
      </c>
      <c r="G3" s="5" t="n"/>
      <c r="H3" s="5" t="n"/>
      <c r="I3" s="6">
        <f>IF($G3="","",$G3-$H3)</f>
        <v/>
      </c>
      <c r="J3" s="2" t="n"/>
      <c r="K3" s="7" t="n"/>
      <c r="L3" s="6">
        <f>IF(OR($K3="",$J3="Livré",$J3="Soldé"),"",$K3-TODAY())</f>
        <v/>
      </c>
    </row>
    <row r="4">
      <c r="A4" s="2" t="n"/>
      <c r="B4" s="2" t="n"/>
      <c r="C4" s="2" t="n"/>
      <c r="D4" s="3" t="n"/>
      <c r="E4" s="3" t="n"/>
      <c r="F4" s="4">
        <f>IF($D4="","",IF($J4="Soldé",0,$D4-$E4))</f>
        <v/>
      </c>
      <c r="G4" s="5" t="n"/>
      <c r="H4" s="5" t="n"/>
      <c r="I4" s="6">
        <f>IF($G4="","",$G4-$H4)</f>
        <v/>
      </c>
      <c r="J4" s="2" t="n"/>
      <c r="K4" s="7" t="n"/>
      <c r="L4" s="6">
        <f>IF(OR($K4="",$J4="Livré",$J4="Soldé"),"",$K4-TODAY())</f>
        <v/>
      </c>
    </row>
    <row r="5">
      <c r="A5" s="2" t="n"/>
      <c r="B5" s="2" t="n"/>
      <c r="C5" s="2" t="n"/>
      <c r="D5" s="3" t="n"/>
      <c r="E5" s="3" t="n"/>
      <c r="F5" s="4">
        <f>IF($D5="","",IF($J5="Soldé",0,$D5-$E5))</f>
        <v/>
      </c>
      <c r="G5" s="5" t="n"/>
      <c r="H5" s="5" t="n"/>
      <c r="I5" s="6">
        <f>IF($G5="","",$G5-$H5)</f>
        <v/>
      </c>
      <c r="J5" s="2" t="n"/>
      <c r="K5" s="7" t="n"/>
      <c r="L5" s="6">
        <f>IF(OR($K5="",$J5="Livré",$J5="Soldé"),"",$K5-TODAY())</f>
        <v/>
      </c>
    </row>
    <row r="6">
      <c r="A6" s="2" t="n"/>
      <c r="B6" s="2" t="n"/>
      <c r="C6" s="2" t="n"/>
      <c r="D6" s="3" t="n"/>
      <c r="E6" s="3" t="n"/>
      <c r="F6" s="4">
        <f>IF($D6="","",IF($J6="Soldé",0,$D6-$E6))</f>
        <v/>
      </c>
      <c r="G6" s="5" t="n"/>
      <c r="H6" s="5" t="n"/>
      <c r="I6" s="6">
        <f>IF($G6="","",$G6-$H6)</f>
        <v/>
      </c>
      <c r="J6" s="2" t="n"/>
      <c r="K6" s="7" t="n"/>
      <c r="L6" s="6">
        <f>IF(OR($K6="",$J6="Livré",$J6="Soldé"),"",$K6-TODAY())</f>
        <v/>
      </c>
    </row>
    <row r="7">
      <c r="A7" s="2" t="n"/>
      <c r="B7" s="2" t="n"/>
      <c r="C7" s="2" t="n"/>
      <c r="D7" s="3" t="n"/>
      <c r="E7" s="3" t="n"/>
      <c r="F7" s="4">
        <f>IF($D7="","",IF($J7="Soldé",0,$D7-$E7))</f>
        <v/>
      </c>
      <c r="G7" s="5" t="n"/>
      <c r="H7" s="5" t="n"/>
      <c r="I7" s="6">
        <f>IF($G7="","",$G7-$H7)</f>
        <v/>
      </c>
      <c r="J7" s="2" t="n"/>
      <c r="K7" s="7" t="n"/>
      <c r="L7" s="6">
        <f>IF(OR($K7="",$J7="Livré",$J7="Soldé"),"",$K7-TODAY())</f>
        <v/>
      </c>
    </row>
    <row r="8">
      <c r="A8" s="2" t="n"/>
      <c r="B8" s="2" t="n"/>
      <c r="C8" s="2" t="n"/>
      <c r="D8" s="3" t="n"/>
      <c r="E8" s="3" t="n"/>
      <c r="F8" s="4">
        <f>IF($D8="","",IF($J8="Soldé",0,$D8-$E8))</f>
        <v/>
      </c>
      <c r="G8" s="5" t="n"/>
      <c r="H8" s="5" t="n"/>
      <c r="I8" s="6">
        <f>IF($G8="","",$G8-$H8)</f>
        <v/>
      </c>
      <c r="J8" s="2" t="n"/>
      <c r="K8" s="7" t="n"/>
      <c r="L8" s="6">
        <f>IF(OR($K8="",$J8="Livré",$J8="Soldé"),"",$K8-TODAY())</f>
        <v/>
      </c>
    </row>
    <row r="9">
      <c r="A9" s="2" t="n"/>
      <c r="B9" s="2" t="n"/>
      <c r="C9" s="2" t="n"/>
      <c r="D9" s="3" t="n"/>
      <c r="E9" s="3" t="n"/>
      <c r="F9" s="4">
        <f>IF($D9="","",IF($J9="Soldé",0,$D9-$E9))</f>
        <v/>
      </c>
      <c r="G9" s="5" t="n"/>
      <c r="H9" s="5" t="n"/>
      <c r="I9" s="6">
        <f>IF($G9="","",$G9-$H9)</f>
        <v/>
      </c>
      <c r="J9" s="2" t="n"/>
      <c r="K9" s="7" t="n"/>
      <c r="L9" s="6">
        <f>IF(OR($K9="",$J9="Livré",$J9="Soldé"),"",$K9-TODAY())</f>
        <v/>
      </c>
    </row>
    <row r="10">
      <c r="A10" s="2" t="n"/>
      <c r="B10" s="2" t="n"/>
      <c r="C10" s="2" t="n"/>
      <c r="D10" s="3" t="n"/>
      <c r="E10" s="3" t="n"/>
      <c r="F10" s="4">
        <f>IF($D10="","",IF($J10="Soldé",0,$D10-$E10))</f>
        <v/>
      </c>
      <c r="G10" s="5" t="n"/>
      <c r="H10" s="5" t="n"/>
      <c r="I10" s="6">
        <f>IF($G10="","",$G10-$H10)</f>
        <v/>
      </c>
      <c r="J10" s="2" t="n"/>
      <c r="K10" s="7" t="n"/>
      <c r="L10" s="6">
        <f>IF(OR($K10="",$J10="Livré",$J10="Soldé"),"",$K10-TODAY())</f>
        <v/>
      </c>
    </row>
    <row r="11">
      <c r="A11" s="2" t="n"/>
      <c r="B11" s="2" t="n"/>
      <c r="C11" s="2" t="n"/>
      <c r="D11" s="3" t="n"/>
      <c r="E11" s="3" t="n"/>
      <c r="F11" s="4">
        <f>IF($D11="","",IF($J11="Soldé",0,$D11-$E11))</f>
        <v/>
      </c>
      <c r="G11" s="5" t="n"/>
      <c r="H11" s="5" t="n"/>
      <c r="I11" s="6">
        <f>IF($G11="","",$G11-$H11)</f>
        <v/>
      </c>
      <c r="J11" s="2" t="n"/>
      <c r="K11" s="7" t="n"/>
      <c r="L11" s="6">
        <f>IF(OR($K11="",$J11="Livré",$J11="Soldé"),"",$K11-TODAY())</f>
        <v/>
      </c>
    </row>
    <row r="12">
      <c r="A12" s="2" t="n"/>
      <c r="B12" s="2" t="n"/>
      <c r="C12" s="2" t="n"/>
      <c r="D12" s="3" t="n"/>
      <c r="E12" s="3" t="n"/>
      <c r="F12" s="4">
        <f>IF($D12="","",IF($J12="Soldé",0,$D12-$E12))</f>
        <v/>
      </c>
      <c r="G12" s="5" t="n"/>
      <c r="H12" s="5" t="n"/>
      <c r="I12" s="6">
        <f>IF($G12="","",$G12-$H12)</f>
        <v/>
      </c>
      <c r="J12" s="2" t="n"/>
      <c r="K12" s="7" t="n"/>
      <c r="L12" s="6">
        <f>IF(OR($K12="",$J12="Livré",$J12="Soldé"),"",$K12-TODAY())</f>
        <v/>
      </c>
    </row>
    <row r="13">
      <c r="A13" s="2" t="n"/>
      <c r="B13" s="2" t="n"/>
      <c r="C13" s="2" t="n"/>
      <c r="D13" s="3" t="n"/>
      <c r="E13" s="3" t="n"/>
      <c r="F13" s="4">
        <f>IF($D13="","",IF($J13="Soldé",0,$D13-$E13))</f>
        <v/>
      </c>
      <c r="G13" s="5" t="n"/>
      <c r="H13" s="5" t="n"/>
      <c r="I13" s="6">
        <f>IF($G13="","",$G13-$H13)</f>
        <v/>
      </c>
      <c r="J13" s="2" t="n"/>
      <c r="K13" s="7" t="n"/>
      <c r="L13" s="6">
        <f>IF(OR($K13="",$J13="Livré",$J13="Soldé"),"",$K13-TODAY())</f>
        <v/>
      </c>
    </row>
    <row r="14">
      <c r="A14" s="2" t="n"/>
      <c r="B14" s="2" t="n"/>
      <c r="C14" s="2" t="n"/>
      <c r="D14" s="3" t="n"/>
      <c r="E14" s="3" t="n"/>
      <c r="F14" s="4">
        <f>IF($D14="","",IF($J14="Soldé",0,$D14-$E14))</f>
        <v/>
      </c>
      <c r="G14" s="5" t="n"/>
      <c r="H14" s="5" t="n"/>
      <c r="I14" s="6">
        <f>IF($G14="","",$G14-$H14)</f>
        <v/>
      </c>
      <c r="J14" s="2" t="n"/>
      <c r="K14" s="7" t="n"/>
      <c r="L14" s="6">
        <f>IF(OR($K14="",$J14="Livré",$J14="Soldé"),"",$K14-TODAY())</f>
        <v/>
      </c>
    </row>
    <row r="15">
      <c r="A15" s="2" t="n"/>
      <c r="B15" s="2" t="n"/>
      <c r="C15" s="2" t="n"/>
      <c r="D15" s="3" t="n"/>
      <c r="E15" s="3" t="n"/>
      <c r="F15" s="4">
        <f>IF($D15="","",IF($J15="Soldé",0,$D15-$E15))</f>
        <v/>
      </c>
      <c r="G15" s="5" t="n"/>
      <c r="H15" s="5" t="n"/>
      <c r="I15" s="6">
        <f>IF($G15="","",$G15-$H15)</f>
        <v/>
      </c>
      <c r="J15" s="2" t="n"/>
      <c r="K15" s="7" t="n"/>
      <c r="L15" s="6">
        <f>IF(OR($K15="",$J15="Livré",$J15="Soldé"),"",$K15-TODAY())</f>
        <v/>
      </c>
    </row>
    <row r="16">
      <c r="A16" s="2" t="n"/>
      <c r="B16" s="2" t="n"/>
      <c r="C16" s="2" t="n"/>
      <c r="D16" s="3" t="n"/>
      <c r="E16" s="3" t="n"/>
      <c r="F16" s="4">
        <f>IF($D16="","",IF($J16="Soldé",0,$D16-$E16))</f>
        <v/>
      </c>
      <c r="G16" s="5" t="n"/>
      <c r="H16" s="5" t="n"/>
      <c r="I16" s="6">
        <f>IF($G16="","",$G16-$H16)</f>
        <v/>
      </c>
      <c r="J16" s="2" t="n"/>
      <c r="K16" s="7" t="n"/>
      <c r="L16" s="6">
        <f>IF(OR($K16="",$J16="Livré",$J16="Soldé"),"",$K16-TODAY())</f>
        <v/>
      </c>
    </row>
    <row r="17">
      <c r="A17" s="2" t="n"/>
      <c r="B17" s="2" t="n"/>
      <c r="C17" s="2" t="n"/>
      <c r="D17" s="3" t="n"/>
      <c r="E17" s="3" t="n"/>
      <c r="F17" s="4">
        <f>IF($D17="","",IF($J17="Soldé",0,$D17-$E17))</f>
        <v/>
      </c>
      <c r="G17" s="5" t="n"/>
      <c r="H17" s="5" t="n"/>
      <c r="I17" s="6">
        <f>IF($G17="","",$G17-$H17)</f>
        <v/>
      </c>
      <c r="J17" s="2" t="n"/>
      <c r="K17" s="7" t="n"/>
      <c r="L17" s="6">
        <f>IF(OR($K17="",$J17="Livré",$J17="Soldé"),"",$K17-TODAY())</f>
        <v/>
      </c>
    </row>
    <row r="18">
      <c r="A18" s="2" t="n"/>
      <c r="B18" s="2" t="n"/>
      <c r="C18" s="2" t="n"/>
      <c r="D18" s="3" t="n"/>
      <c r="E18" s="3" t="n"/>
      <c r="F18" s="4">
        <f>IF($D18="","",IF($J18="Soldé",0,$D18-$E18))</f>
        <v/>
      </c>
      <c r="G18" s="5" t="n"/>
      <c r="H18" s="5" t="n"/>
      <c r="I18" s="6">
        <f>IF($G18="","",$G18-$H18)</f>
        <v/>
      </c>
      <c r="J18" s="2" t="n"/>
      <c r="K18" s="7" t="n"/>
      <c r="L18" s="6">
        <f>IF(OR($K18="",$J18="Livré",$J18="Soldé"),"",$K18-TODAY())</f>
        <v/>
      </c>
    </row>
    <row r="19">
      <c r="A19" s="2" t="n"/>
      <c r="B19" s="2" t="n"/>
      <c r="C19" s="2" t="n"/>
      <c r="D19" s="3" t="n"/>
      <c r="E19" s="3" t="n"/>
      <c r="F19" s="4">
        <f>IF($D19="","",IF($J19="Soldé",0,$D19-$E19))</f>
        <v/>
      </c>
      <c r="G19" s="5" t="n"/>
      <c r="H19" s="5" t="n"/>
      <c r="I19" s="6">
        <f>IF($G19="","",$G19-$H19)</f>
        <v/>
      </c>
      <c r="J19" s="2" t="n"/>
      <c r="K19" s="7" t="n"/>
      <c r="L19" s="6">
        <f>IF(OR($K19="",$J19="Livré",$J19="Soldé"),"",$K19-TODAY())</f>
        <v/>
      </c>
    </row>
    <row r="20">
      <c r="A20" s="2" t="n"/>
      <c r="B20" s="2" t="n"/>
      <c r="C20" s="2" t="n"/>
      <c r="D20" s="3" t="n"/>
      <c r="E20" s="3" t="n"/>
      <c r="F20" s="4">
        <f>IF($D20="","",IF($J20="Soldé",0,$D20-$E20))</f>
        <v/>
      </c>
      <c r="G20" s="5" t="n"/>
      <c r="H20" s="5" t="n"/>
      <c r="I20" s="6">
        <f>IF($G20="","",$G20-$H20)</f>
        <v/>
      </c>
      <c r="J20" s="2" t="n"/>
      <c r="K20" s="7" t="n"/>
      <c r="L20" s="6">
        <f>IF(OR($K20="",$J20="Livré",$J20="Soldé"),"",$K20-TODAY())</f>
        <v/>
      </c>
    </row>
    <row r="21">
      <c r="A21" s="2" t="n"/>
      <c r="B21" s="2" t="n"/>
      <c r="C21" s="2" t="n"/>
      <c r="D21" s="3" t="n"/>
      <c r="E21" s="3" t="n"/>
      <c r="F21" s="4">
        <f>IF($D21="","",IF($J21="Soldé",0,$D21-$E21))</f>
        <v/>
      </c>
      <c r="G21" s="5" t="n"/>
      <c r="H21" s="5" t="n"/>
      <c r="I21" s="6">
        <f>IF($G21="","",$G21-$H21)</f>
        <v/>
      </c>
      <c r="J21" s="2" t="n"/>
      <c r="K21" s="7" t="n"/>
      <c r="L21" s="6">
        <f>IF(OR($K21="",$J21="Livré",$J21="Soldé"),"",$K21-TODAY())</f>
        <v/>
      </c>
    </row>
    <row r="22">
      <c r="A22" s="2" t="n"/>
      <c r="B22" s="2" t="n"/>
      <c r="C22" s="2" t="n"/>
      <c r="D22" s="3" t="n"/>
      <c r="E22" s="3" t="n"/>
      <c r="F22" s="4">
        <f>IF($D22="","",IF($J22="Soldé",0,$D22-$E22))</f>
        <v/>
      </c>
      <c r="G22" s="5" t="n"/>
      <c r="H22" s="5" t="n"/>
      <c r="I22" s="6">
        <f>IF($G22="","",$G22-$H22)</f>
        <v/>
      </c>
      <c r="J22" s="2" t="n"/>
      <c r="K22" s="7" t="n"/>
      <c r="L22" s="6">
        <f>IF(OR($K22="",$J22="Livré",$J22="Soldé"),"",$K22-TODAY())</f>
        <v/>
      </c>
    </row>
    <row r="23">
      <c r="A23" s="2" t="n"/>
      <c r="B23" s="2" t="n"/>
      <c r="C23" s="2" t="n"/>
      <c r="D23" s="3" t="n"/>
      <c r="E23" s="3" t="n"/>
      <c r="F23" s="4">
        <f>IF($D23="","",IF($J23="Soldé",0,$D23-$E23))</f>
        <v/>
      </c>
      <c r="G23" s="5" t="n"/>
      <c r="H23" s="5" t="n"/>
      <c r="I23" s="6">
        <f>IF($G23="","",$G23-$H23)</f>
        <v/>
      </c>
      <c r="J23" s="2" t="n"/>
      <c r="K23" s="7" t="n"/>
      <c r="L23" s="6">
        <f>IF(OR($K23="",$J23="Livré",$J23="Soldé"),"",$K23-TODAY())</f>
        <v/>
      </c>
    </row>
    <row r="24">
      <c r="A24" s="2" t="n"/>
      <c r="B24" s="2" t="n"/>
      <c r="C24" s="2" t="n"/>
      <c r="D24" s="3" t="n"/>
      <c r="E24" s="3" t="n"/>
      <c r="F24" s="4">
        <f>IF($D24="","",IF($J24="Soldé",0,$D24-$E24))</f>
        <v/>
      </c>
      <c r="G24" s="5" t="n"/>
      <c r="H24" s="5" t="n"/>
      <c r="I24" s="6">
        <f>IF($G24="","",$G24-$H24)</f>
        <v/>
      </c>
      <c r="J24" s="2" t="n"/>
      <c r="K24" s="7" t="n"/>
      <c r="L24" s="6">
        <f>IF(OR($K24="",$J24="Livré",$J24="Soldé"),"",$K24-TODAY())</f>
        <v/>
      </c>
    </row>
    <row r="25">
      <c r="A25" s="2" t="n"/>
      <c r="B25" s="2" t="n"/>
      <c r="C25" s="2" t="n"/>
      <c r="D25" s="3" t="n"/>
      <c r="E25" s="3" t="n"/>
      <c r="F25" s="4">
        <f>IF($D25="","",IF($J25="Soldé",0,$D25-$E25))</f>
        <v/>
      </c>
      <c r="G25" s="5" t="n"/>
      <c r="H25" s="5" t="n"/>
      <c r="I25" s="6">
        <f>IF($G25="","",$G25-$H25)</f>
        <v/>
      </c>
      <c r="J25" s="2" t="n"/>
      <c r="K25" s="7" t="n"/>
      <c r="L25" s="6">
        <f>IF(OR($K25="",$J25="Livré",$J25="Soldé"),"",$K25-TODAY())</f>
        <v/>
      </c>
    </row>
    <row r="26">
      <c r="A26" s="2" t="n"/>
      <c r="B26" s="2" t="n"/>
      <c r="C26" s="2" t="n"/>
      <c r="D26" s="3" t="n"/>
      <c r="E26" s="3" t="n"/>
      <c r="F26" s="4">
        <f>IF($D26="","",IF($J26="Soldé",0,$D26-$E26))</f>
        <v/>
      </c>
      <c r="G26" s="5" t="n"/>
      <c r="H26" s="5" t="n"/>
      <c r="I26" s="6">
        <f>IF($G26="","",$G26-$H26)</f>
        <v/>
      </c>
      <c r="J26" s="2" t="n"/>
      <c r="K26" s="7" t="n"/>
      <c r="L26" s="6">
        <f>IF(OR($K26="",$J26="Livré",$J26="Soldé"),"",$K26-TODAY())</f>
        <v/>
      </c>
    </row>
    <row r="27">
      <c r="A27" s="2" t="n"/>
      <c r="B27" s="2" t="n"/>
      <c r="C27" s="2" t="n"/>
      <c r="D27" s="3" t="n"/>
      <c r="E27" s="3" t="n"/>
      <c r="F27" s="4">
        <f>IF($D27="","",IF($J27="Soldé",0,$D27-$E27))</f>
        <v/>
      </c>
      <c r="G27" s="5" t="n"/>
      <c r="H27" s="5" t="n"/>
      <c r="I27" s="6">
        <f>IF($G27="","",$G27-$H27)</f>
        <v/>
      </c>
      <c r="J27" s="2" t="n"/>
      <c r="K27" s="7" t="n"/>
      <c r="L27" s="6">
        <f>IF(OR($K27="",$J27="Livré",$J27="Soldé"),"",$K27-TODAY())</f>
        <v/>
      </c>
    </row>
    <row r="28">
      <c r="A28" s="2" t="n"/>
      <c r="B28" s="2" t="n"/>
      <c r="C28" s="2" t="n"/>
      <c r="D28" s="3" t="n"/>
      <c r="E28" s="3" t="n"/>
      <c r="F28" s="4">
        <f>IF($D28="","",IF($J28="Soldé",0,$D28-$E28))</f>
        <v/>
      </c>
      <c r="G28" s="5" t="n"/>
      <c r="H28" s="5" t="n"/>
      <c r="I28" s="6">
        <f>IF($G28="","",$G28-$H28)</f>
        <v/>
      </c>
      <c r="J28" s="2" t="n"/>
      <c r="K28" s="7" t="n"/>
      <c r="L28" s="6">
        <f>IF(OR($K28="",$J28="Livré",$J28="Soldé"),"",$K28-TODAY())</f>
        <v/>
      </c>
    </row>
    <row r="29">
      <c r="A29" s="2" t="n"/>
      <c r="B29" s="2" t="n"/>
      <c r="C29" s="2" t="n"/>
      <c r="D29" s="3" t="n"/>
      <c r="E29" s="3" t="n"/>
      <c r="F29" s="4">
        <f>IF($D29="","",IF($J29="Soldé",0,$D29-$E29))</f>
        <v/>
      </c>
      <c r="G29" s="5" t="n"/>
      <c r="H29" s="5" t="n"/>
      <c r="I29" s="6">
        <f>IF($G29="","",$G29-$H29)</f>
        <v/>
      </c>
      <c r="J29" s="2" t="n"/>
      <c r="K29" s="7" t="n"/>
      <c r="L29" s="6">
        <f>IF(OR($K29="",$J29="Livré",$J29="Soldé"),"",$K29-TODAY())</f>
        <v/>
      </c>
    </row>
    <row r="30">
      <c r="A30" s="2" t="n"/>
      <c r="B30" s="2" t="n"/>
      <c r="C30" s="2" t="n"/>
      <c r="D30" s="3" t="n"/>
      <c r="E30" s="3" t="n"/>
      <c r="F30" s="4">
        <f>IF($D30="","",IF($J30="Soldé",0,$D30-$E30))</f>
        <v/>
      </c>
      <c r="G30" s="5" t="n"/>
      <c r="H30" s="5" t="n"/>
      <c r="I30" s="6">
        <f>IF($G30="","",$G30-$H30)</f>
        <v/>
      </c>
      <c r="J30" s="2" t="n"/>
      <c r="K30" s="7" t="n"/>
      <c r="L30" s="6">
        <f>IF(OR($K30="",$J30="Livré",$J30="Soldé"),"",$K30-TODAY())</f>
        <v/>
      </c>
    </row>
    <row r="31">
      <c r="A31" s="2" t="n"/>
      <c r="B31" s="2" t="n"/>
      <c r="C31" s="2" t="n"/>
      <c r="D31" s="3" t="n"/>
      <c r="E31" s="3" t="n"/>
      <c r="F31" s="4">
        <f>IF($D31="","",IF($J31="Soldé",0,$D31-$E31))</f>
        <v/>
      </c>
      <c r="G31" s="5" t="n"/>
      <c r="H31" s="5" t="n"/>
      <c r="I31" s="6">
        <f>IF($G31="","",$G31-$H31)</f>
        <v/>
      </c>
      <c r="J31" s="2" t="n"/>
      <c r="K31" s="7" t="n"/>
      <c r="L31" s="6">
        <f>IF(OR($K31="",$J31="Livré",$J31="Soldé"),"",$K31-TODAY())</f>
        <v/>
      </c>
    </row>
    <row r="32">
      <c r="A32" s="2" t="n"/>
      <c r="B32" s="2" t="n"/>
      <c r="C32" s="2" t="n"/>
      <c r="D32" s="3" t="n"/>
      <c r="E32" s="3" t="n"/>
      <c r="F32" s="4">
        <f>IF($D32="","",IF($J32="Soldé",0,$D32-$E32))</f>
        <v/>
      </c>
      <c r="G32" s="5" t="n"/>
      <c r="H32" s="5" t="n"/>
      <c r="I32" s="6">
        <f>IF($G32="","",$G32-$H32)</f>
        <v/>
      </c>
      <c r="J32" s="2" t="n"/>
      <c r="K32" s="7" t="n"/>
      <c r="L32" s="6">
        <f>IF(OR($K32="",$J32="Livré",$J32="Soldé"),"",$K32-TODAY())</f>
        <v/>
      </c>
    </row>
    <row r="33">
      <c r="A33" s="2" t="n"/>
      <c r="B33" s="2" t="n"/>
      <c r="C33" s="2" t="n"/>
      <c r="D33" s="3" t="n"/>
      <c r="E33" s="3" t="n"/>
      <c r="F33" s="4">
        <f>IF($D33="","",IF($J33="Soldé",0,$D33-$E33))</f>
        <v/>
      </c>
      <c r="G33" s="5" t="n"/>
      <c r="H33" s="5" t="n"/>
      <c r="I33" s="6">
        <f>IF($G33="","",$G33-$H33)</f>
        <v/>
      </c>
      <c r="J33" s="2" t="n"/>
      <c r="K33" s="7" t="n"/>
      <c r="L33" s="6">
        <f>IF(OR($K33="",$J33="Livré",$J33="Soldé"),"",$K33-TODAY())</f>
        <v/>
      </c>
    </row>
    <row r="34">
      <c r="A34" s="2" t="n"/>
      <c r="B34" s="2" t="n"/>
      <c r="C34" s="2" t="n"/>
      <c r="D34" s="3" t="n"/>
      <c r="E34" s="3" t="n"/>
      <c r="F34" s="4">
        <f>IF($D34="","",IF($J34="Soldé",0,$D34-$E34))</f>
        <v/>
      </c>
      <c r="G34" s="5" t="n"/>
      <c r="H34" s="5" t="n"/>
      <c r="I34" s="6">
        <f>IF($G34="","",$G34-$H34)</f>
        <v/>
      </c>
      <c r="J34" s="2" t="n"/>
      <c r="K34" s="7" t="n"/>
      <c r="L34" s="6">
        <f>IF(OR($K34="",$J34="Livré",$J34="Soldé"),"",$K34-TODAY())</f>
        <v/>
      </c>
    </row>
    <row r="35">
      <c r="A35" s="2" t="n"/>
      <c r="B35" s="2" t="n"/>
      <c r="C35" s="2" t="n"/>
      <c r="D35" s="3" t="n"/>
      <c r="E35" s="3" t="n"/>
      <c r="F35" s="4">
        <f>IF($D35="","",IF($J35="Soldé",0,$D35-$E35))</f>
        <v/>
      </c>
      <c r="G35" s="5" t="n"/>
      <c r="H35" s="5" t="n"/>
      <c r="I35" s="6">
        <f>IF($G35="","",$G35-$H35)</f>
        <v/>
      </c>
      <c r="J35" s="2" t="n"/>
      <c r="K35" s="7" t="n"/>
      <c r="L35" s="6">
        <f>IF(OR($K35="",$J35="Livré",$J35="Soldé"),"",$K35-TODAY())</f>
        <v/>
      </c>
    </row>
    <row r="36">
      <c r="A36" s="2" t="n"/>
      <c r="B36" s="2" t="n"/>
      <c r="C36" s="2" t="n"/>
      <c r="D36" s="3" t="n"/>
      <c r="E36" s="3" t="n"/>
      <c r="F36" s="4">
        <f>IF($D36="","",IF($J36="Soldé",0,$D36-$E36))</f>
        <v/>
      </c>
      <c r="G36" s="5" t="n"/>
      <c r="H36" s="5" t="n"/>
      <c r="I36" s="6">
        <f>IF($G36="","",$G36-$H36)</f>
        <v/>
      </c>
      <c r="J36" s="2" t="n"/>
      <c r="K36" s="7" t="n"/>
      <c r="L36" s="6">
        <f>IF(OR($K36="",$J36="Livré",$J36="Soldé"),"",$K36-TODAY())</f>
        <v/>
      </c>
    </row>
    <row r="37">
      <c r="A37" s="2" t="n"/>
      <c r="B37" s="2" t="n"/>
      <c r="C37" s="2" t="n"/>
      <c r="D37" s="3" t="n"/>
      <c r="E37" s="3" t="n"/>
      <c r="F37" s="4">
        <f>IF($D37="","",IF($J37="Soldé",0,$D37-$E37))</f>
        <v/>
      </c>
      <c r="G37" s="5" t="n"/>
      <c r="H37" s="5" t="n"/>
      <c r="I37" s="6">
        <f>IF($G37="","",$G37-$H37)</f>
        <v/>
      </c>
      <c r="J37" s="2" t="n"/>
      <c r="K37" s="7" t="n"/>
      <c r="L37" s="6">
        <f>IF(OR($K37="",$J37="Livré",$J37="Soldé"),"",$K37-TODAY())</f>
        <v/>
      </c>
    </row>
    <row r="38">
      <c r="A38" s="2" t="n"/>
      <c r="B38" s="2" t="n"/>
      <c r="C38" s="2" t="n"/>
      <c r="D38" s="3" t="n"/>
      <c r="E38" s="3" t="n"/>
      <c r="F38" s="4">
        <f>IF($D38="","",IF($J38="Soldé",0,$D38-$E38))</f>
        <v/>
      </c>
      <c r="G38" s="5" t="n"/>
      <c r="H38" s="5" t="n"/>
      <c r="I38" s="6">
        <f>IF($G38="","",$G38-$H38)</f>
        <v/>
      </c>
      <c r="J38" s="2" t="n"/>
      <c r="K38" s="7" t="n"/>
      <c r="L38" s="6">
        <f>IF(OR($K38="",$J38="Livré",$J38="Soldé"),"",$K38-TODAY())</f>
        <v/>
      </c>
    </row>
    <row r="39">
      <c r="A39" s="2" t="n"/>
      <c r="B39" s="2" t="n"/>
      <c r="C39" s="2" t="n"/>
      <c r="D39" s="3" t="n"/>
      <c r="E39" s="3" t="n"/>
      <c r="F39" s="4">
        <f>IF($D39="","",IF($J39="Soldé",0,$D39-$E39))</f>
        <v/>
      </c>
      <c r="G39" s="5" t="n"/>
      <c r="H39" s="5" t="n"/>
      <c r="I39" s="6">
        <f>IF($G39="","",$G39-$H39)</f>
        <v/>
      </c>
      <c r="J39" s="2" t="n"/>
      <c r="K39" s="7" t="n"/>
      <c r="L39" s="6">
        <f>IF(OR($K39="",$J39="Livré",$J39="Soldé"),"",$K39-TODAY())</f>
        <v/>
      </c>
    </row>
    <row r="40">
      <c r="A40" s="2" t="n"/>
      <c r="B40" s="2" t="n"/>
      <c r="C40" s="2" t="n"/>
      <c r="D40" s="3" t="n"/>
      <c r="E40" s="3" t="n"/>
      <c r="F40" s="4">
        <f>IF($D40="","",IF($J40="Soldé",0,$D40-$E40))</f>
        <v/>
      </c>
      <c r="G40" s="5" t="n"/>
      <c r="H40" s="5" t="n"/>
      <c r="I40" s="6">
        <f>IF($G40="","",$G40-$H40)</f>
        <v/>
      </c>
      <c r="J40" s="2" t="n"/>
      <c r="K40" s="7" t="n"/>
      <c r="L40" s="6">
        <f>IF(OR($K40="",$J40="Livré",$J40="Soldé"),"",$K40-TODAY())</f>
        <v/>
      </c>
    </row>
    <row r="41">
      <c r="A41" s="2" t="n"/>
      <c r="B41" s="2" t="n"/>
      <c r="C41" s="2" t="n"/>
      <c r="D41" s="3" t="n"/>
      <c r="E41" s="3" t="n"/>
      <c r="F41" s="4">
        <f>IF($D41="","",IF($J41="Soldé",0,$D41-$E41))</f>
        <v/>
      </c>
      <c r="G41" s="5" t="n"/>
      <c r="H41" s="5" t="n"/>
      <c r="I41" s="6">
        <f>IF($G41="","",$G41-$H41)</f>
        <v/>
      </c>
      <c r="J41" s="2" t="n"/>
      <c r="K41" s="7" t="n"/>
      <c r="L41" s="6">
        <f>IF(OR($K41="",$J41="Livré",$J41="Soldé"),"",$K41-TODAY())</f>
        <v/>
      </c>
    </row>
    <row r="42">
      <c r="A42" s="2" t="n"/>
      <c r="B42" s="2" t="n"/>
      <c r="C42" s="2" t="n"/>
      <c r="D42" s="3" t="n"/>
      <c r="E42" s="3" t="n"/>
      <c r="F42" s="4">
        <f>IF($D42="","",IF($J42="Soldé",0,$D42-$E42))</f>
        <v/>
      </c>
      <c r="G42" s="5" t="n"/>
      <c r="H42" s="5" t="n"/>
      <c r="I42" s="6">
        <f>IF($G42="","",$G42-$H42)</f>
        <v/>
      </c>
      <c r="J42" s="2" t="n"/>
      <c r="K42" s="7" t="n"/>
      <c r="L42" s="6">
        <f>IF(OR($K42="",$J42="Livré",$J42="Soldé"),"",$K42-TODAY())</f>
        <v/>
      </c>
    </row>
    <row r="43">
      <c r="A43" s="2" t="n"/>
      <c r="B43" s="2" t="n"/>
      <c r="C43" s="2" t="n"/>
      <c r="D43" s="3" t="n"/>
      <c r="E43" s="3" t="n"/>
      <c r="F43" s="4">
        <f>IF($D43="","",IF($J43="Soldé",0,$D43-$E43))</f>
        <v/>
      </c>
      <c r="G43" s="5" t="n"/>
      <c r="H43" s="5" t="n"/>
      <c r="I43" s="6">
        <f>IF($G43="","",$G43-$H43)</f>
        <v/>
      </c>
      <c r="J43" s="2" t="n"/>
      <c r="K43" s="7" t="n"/>
      <c r="L43" s="6">
        <f>IF(OR($K43="",$J43="Livré",$J43="Soldé"),"",$K43-TODAY())</f>
        <v/>
      </c>
    </row>
    <row r="44">
      <c r="A44" s="2" t="n"/>
      <c r="B44" s="2" t="n"/>
      <c r="C44" s="2" t="n"/>
      <c r="D44" s="3" t="n"/>
      <c r="E44" s="3" t="n"/>
      <c r="F44" s="4">
        <f>IF($D44="","",IF($J44="Soldé",0,$D44-$E44))</f>
        <v/>
      </c>
      <c r="G44" s="5" t="n"/>
      <c r="H44" s="5" t="n"/>
      <c r="I44" s="6">
        <f>IF($G44="","",$G44-$H44)</f>
        <v/>
      </c>
      <c r="J44" s="2" t="n"/>
      <c r="K44" s="7" t="n"/>
      <c r="L44" s="6">
        <f>IF(OR($K44="",$J44="Livré",$J44="Soldé"),"",$K44-TODAY())</f>
        <v/>
      </c>
    </row>
    <row r="45">
      <c r="A45" s="2" t="n"/>
      <c r="B45" s="2" t="n"/>
      <c r="C45" s="2" t="n"/>
      <c r="D45" s="3" t="n"/>
      <c r="E45" s="3" t="n"/>
      <c r="F45" s="4">
        <f>IF($D45="","",IF($J45="Soldé",0,$D45-$E45))</f>
        <v/>
      </c>
      <c r="G45" s="5" t="n"/>
      <c r="H45" s="5" t="n"/>
      <c r="I45" s="6">
        <f>IF($G45="","",$G45-$H45)</f>
        <v/>
      </c>
      <c r="J45" s="2" t="n"/>
      <c r="K45" s="7" t="n"/>
      <c r="L45" s="6">
        <f>IF(OR($K45="",$J45="Livré",$J45="Soldé"),"",$K45-TODAY())</f>
        <v/>
      </c>
    </row>
    <row r="46">
      <c r="A46" s="2" t="n"/>
      <c r="B46" s="2" t="n"/>
      <c r="C46" s="2" t="n"/>
      <c r="D46" s="3" t="n"/>
      <c r="E46" s="3" t="n"/>
      <c r="F46" s="4">
        <f>IF($D46="","",IF($J46="Soldé",0,$D46-$E46))</f>
        <v/>
      </c>
      <c r="G46" s="5" t="n"/>
      <c r="H46" s="5" t="n"/>
      <c r="I46" s="6">
        <f>IF($G46="","",$G46-$H46)</f>
        <v/>
      </c>
      <c r="J46" s="2" t="n"/>
      <c r="K46" s="7" t="n"/>
      <c r="L46" s="6">
        <f>IF(OR($K46="",$J46="Livré",$J46="Soldé"),"",$K46-TODAY())</f>
        <v/>
      </c>
    </row>
    <row r="47">
      <c r="A47" s="2" t="n"/>
      <c r="B47" s="2" t="n"/>
      <c r="C47" s="2" t="n"/>
      <c r="D47" s="3" t="n"/>
      <c r="E47" s="3" t="n"/>
      <c r="F47" s="4">
        <f>IF($D47="","",IF($J47="Soldé",0,$D47-$E47))</f>
        <v/>
      </c>
      <c r="G47" s="5" t="n"/>
      <c r="H47" s="5" t="n"/>
      <c r="I47" s="6">
        <f>IF($G47="","",$G47-$H47)</f>
        <v/>
      </c>
      <c r="J47" s="2" t="n"/>
      <c r="K47" s="7" t="n"/>
      <c r="L47" s="6">
        <f>IF(OR($K47="",$J47="Livré",$J47="Soldé"),"",$K47-TODAY())</f>
        <v/>
      </c>
    </row>
    <row r="48">
      <c r="A48" s="2" t="n"/>
      <c r="B48" s="2" t="n"/>
      <c r="C48" s="2" t="n"/>
      <c r="D48" s="3" t="n"/>
      <c r="E48" s="3" t="n"/>
      <c r="F48" s="4">
        <f>IF($D48="","",IF($J48="Soldé",0,$D48-$E48))</f>
        <v/>
      </c>
      <c r="G48" s="5" t="n"/>
      <c r="H48" s="5" t="n"/>
      <c r="I48" s="6">
        <f>IF($G48="","",$G48-$H48)</f>
        <v/>
      </c>
      <c r="J48" s="2" t="n"/>
      <c r="K48" s="7" t="n"/>
      <c r="L48" s="6">
        <f>IF(OR($K48="",$J48="Livré",$J48="Soldé"),"",$K48-TODAY())</f>
        <v/>
      </c>
    </row>
    <row r="49">
      <c r="A49" s="2" t="n"/>
      <c r="B49" s="2" t="n"/>
      <c r="C49" s="2" t="n"/>
      <c r="D49" s="3" t="n"/>
      <c r="E49" s="3" t="n"/>
      <c r="F49" s="4">
        <f>IF($D49="","",IF($J49="Soldé",0,$D49-$E49))</f>
        <v/>
      </c>
      <c r="G49" s="5" t="n"/>
      <c r="H49" s="5" t="n"/>
      <c r="I49" s="6">
        <f>IF($G49="","",$G49-$H49)</f>
        <v/>
      </c>
      <c r="J49" s="2" t="n"/>
      <c r="K49" s="7" t="n"/>
      <c r="L49" s="6">
        <f>IF(OR($K49="",$J49="Livré",$J49="Soldé"),"",$K49-TODAY())</f>
        <v/>
      </c>
    </row>
    <row r="50">
      <c r="A50" s="2" t="n"/>
      <c r="B50" s="2" t="n"/>
      <c r="C50" s="2" t="n"/>
      <c r="D50" s="3" t="n"/>
      <c r="E50" s="3" t="n"/>
      <c r="F50" s="4">
        <f>IF($D50="","",IF($J50="Soldé",0,$D50-$E50))</f>
        <v/>
      </c>
      <c r="G50" s="5" t="n"/>
      <c r="H50" s="5" t="n"/>
      <c r="I50" s="6">
        <f>IF($G50="","",$G50-$H50)</f>
        <v/>
      </c>
      <c r="J50" s="2" t="n"/>
      <c r="K50" s="7" t="n"/>
      <c r="L50" s="6">
        <f>IF(OR($K50="",$J50="Livré",$J50="Soldé"),"",$K50-TODAY())</f>
        <v/>
      </c>
    </row>
    <row r="51">
      <c r="A51" s="2" t="n"/>
      <c r="B51" s="2" t="n"/>
      <c r="C51" s="2" t="n"/>
      <c r="D51" s="3" t="n"/>
      <c r="E51" s="3" t="n"/>
      <c r="F51" s="4">
        <f>IF($D51="","",IF($J51="Soldé",0,$D51-$E51))</f>
        <v/>
      </c>
      <c r="G51" s="5" t="n"/>
      <c r="H51" s="5" t="n"/>
      <c r="I51" s="6">
        <f>IF($G51="","",$G51-$H51)</f>
        <v/>
      </c>
      <c r="J51" s="2" t="n"/>
      <c r="K51" s="7" t="n"/>
      <c r="L51" s="6">
        <f>IF(OR($K51="",$J51="Livré",$J51="Soldé"),"",$K51-TODAY())</f>
        <v/>
      </c>
    </row>
    <row r="52">
      <c r="A52" s="2" t="n"/>
      <c r="B52" s="2" t="n"/>
      <c r="C52" s="2" t="n"/>
      <c r="D52" s="3" t="n"/>
      <c r="E52" s="3" t="n"/>
      <c r="F52" s="4">
        <f>IF($D52="","",IF($J52="Soldé",0,$D52-$E52))</f>
        <v/>
      </c>
      <c r="G52" s="5" t="n"/>
      <c r="H52" s="5" t="n"/>
      <c r="I52" s="6">
        <f>IF($G52="","",$G52-$H52)</f>
        <v/>
      </c>
      <c r="J52" s="2" t="n"/>
      <c r="K52" s="7" t="n"/>
      <c r="L52" s="6">
        <f>IF(OR($K52="",$J52="Livré",$J52="Soldé"),"",$K52-TODAY())</f>
        <v/>
      </c>
    </row>
    <row r="53">
      <c r="A53" s="2" t="n"/>
      <c r="B53" s="2" t="n"/>
      <c r="C53" s="2" t="n"/>
      <c r="D53" s="3" t="n"/>
      <c r="E53" s="3" t="n"/>
      <c r="F53" s="4">
        <f>IF($D53="","",IF($J53="Soldé",0,$D53-$E53))</f>
        <v/>
      </c>
      <c r="G53" s="5" t="n"/>
      <c r="H53" s="5" t="n"/>
      <c r="I53" s="6">
        <f>IF($G53="","",$G53-$H53)</f>
        <v/>
      </c>
      <c r="J53" s="2" t="n"/>
      <c r="K53" s="7" t="n"/>
      <c r="L53" s="6">
        <f>IF(OR($K53="",$J53="Livré",$J53="Soldé"),"",$K53-TODAY())</f>
        <v/>
      </c>
    </row>
    <row r="54">
      <c r="A54" s="2" t="n"/>
      <c r="B54" s="2" t="n"/>
      <c r="C54" s="2" t="n"/>
      <c r="D54" s="3" t="n"/>
      <c r="E54" s="3" t="n"/>
      <c r="F54" s="4">
        <f>IF($D54="","",IF($J54="Soldé",0,$D54-$E54))</f>
        <v/>
      </c>
      <c r="G54" s="5" t="n"/>
      <c r="H54" s="5" t="n"/>
      <c r="I54" s="6">
        <f>IF($G54="","",$G54-$H54)</f>
        <v/>
      </c>
      <c r="J54" s="2" t="n"/>
      <c r="K54" s="7" t="n"/>
      <c r="L54" s="6">
        <f>IF(OR($K54="",$J54="Livré",$J54="Soldé"),"",$K54-TODAY())</f>
        <v/>
      </c>
    </row>
    <row r="55">
      <c r="A55" s="2" t="n"/>
      <c r="B55" s="2" t="n"/>
      <c r="C55" s="2" t="n"/>
      <c r="D55" s="3" t="n"/>
      <c r="E55" s="3" t="n"/>
      <c r="F55" s="4">
        <f>IF($D55="","",IF($J55="Soldé",0,$D55-$E55))</f>
        <v/>
      </c>
      <c r="G55" s="5" t="n"/>
      <c r="H55" s="5" t="n"/>
      <c r="I55" s="6">
        <f>IF($G55="","",$G55-$H55)</f>
        <v/>
      </c>
      <c r="J55" s="2" t="n"/>
      <c r="K55" s="7" t="n"/>
      <c r="L55" s="6">
        <f>IF(OR($K55="",$J55="Livré",$J55="Soldé"),"",$K55-TODAY())</f>
        <v/>
      </c>
    </row>
    <row r="56">
      <c r="A56" s="2" t="n"/>
      <c r="B56" s="2" t="n"/>
      <c r="C56" s="2" t="n"/>
      <c r="D56" s="3" t="n"/>
      <c r="E56" s="3" t="n"/>
      <c r="F56" s="4">
        <f>IF($D56="","",IF($J56="Soldé",0,$D56-$E56))</f>
        <v/>
      </c>
      <c r="G56" s="5" t="n"/>
      <c r="H56" s="5" t="n"/>
      <c r="I56" s="6">
        <f>IF($G56="","",$G56-$H56)</f>
        <v/>
      </c>
      <c r="J56" s="2" t="n"/>
      <c r="K56" s="7" t="n"/>
      <c r="L56" s="6">
        <f>IF(OR($K56="",$J56="Livré",$J56="Soldé"),"",$K56-TODAY())</f>
        <v/>
      </c>
    </row>
    <row r="57">
      <c r="A57" s="2" t="n"/>
      <c r="B57" s="2" t="n"/>
      <c r="C57" s="2" t="n"/>
      <c r="D57" s="3" t="n"/>
      <c r="E57" s="3" t="n"/>
      <c r="F57" s="4">
        <f>IF($D57="","",IF($J57="Soldé",0,$D57-$E57))</f>
        <v/>
      </c>
      <c r="G57" s="5" t="n"/>
      <c r="H57" s="5" t="n"/>
      <c r="I57" s="6">
        <f>IF($G57="","",$G57-$H57)</f>
        <v/>
      </c>
      <c r="J57" s="2" t="n"/>
      <c r="K57" s="7" t="n"/>
      <c r="L57" s="6">
        <f>IF(OR($K57="",$J57="Livré",$J57="Soldé"),"",$K57-TODAY())</f>
        <v/>
      </c>
    </row>
    <row r="58">
      <c r="A58" s="2" t="n"/>
      <c r="B58" s="2" t="n"/>
      <c r="C58" s="2" t="n"/>
      <c r="D58" s="3" t="n"/>
      <c r="E58" s="3" t="n"/>
      <c r="F58" s="4">
        <f>IF($D58="","",IF($J58="Soldé",0,$D58-$E58))</f>
        <v/>
      </c>
      <c r="G58" s="5" t="n"/>
      <c r="H58" s="5" t="n"/>
      <c r="I58" s="6">
        <f>IF($G58="","",$G58-$H58)</f>
        <v/>
      </c>
      <c r="J58" s="2" t="n"/>
      <c r="K58" s="7" t="n"/>
      <c r="L58" s="6">
        <f>IF(OR($K58="",$J58="Livré",$J58="Soldé"),"",$K58-TODAY())</f>
        <v/>
      </c>
    </row>
    <row r="59">
      <c r="A59" s="2" t="n"/>
      <c r="B59" s="2" t="n"/>
      <c r="C59" s="2" t="n"/>
      <c r="D59" s="3" t="n"/>
      <c r="E59" s="3" t="n"/>
      <c r="F59" s="4">
        <f>IF($D59="","",IF($J59="Soldé",0,$D59-$E59))</f>
        <v/>
      </c>
      <c r="G59" s="5" t="n"/>
      <c r="H59" s="5" t="n"/>
      <c r="I59" s="6">
        <f>IF($G59="","",$G59-$H59)</f>
        <v/>
      </c>
      <c r="J59" s="2" t="n"/>
      <c r="K59" s="7" t="n"/>
      <c r="L59" s="6">
        <f>IF(OR($K59="",$J59="Livré",$J59="Soldé"),"",$K59-TODAY())</f>
        <v/>
      </c>
    </row>
    <row r="60">
      <c r="A60" s="2" t="n"/>
      <c r="B60" s="2" t="n"/>
      <c r="C60" s="2" t="n"/>
      <c r="D60" s="3" t="n"/>
      <c r="E60" s="3" t="n"/>
      <c r="F60" s="4">
        <f>IF($D60="","",IF($J60="Soldé",0,$D60-$E60))</f>
        <v/>
      </c>
      <c r="G60" s="5" t="n"/>
      <c r="H60" s="5" t="n"/>
      <c r="I60" s="6">
        <f>IF($G60="","",$G60-$H60)</f>
        <v/>
      </c>
      <c r="J60" s="2" t="n"/>
      <c r="K60" s="7" t="n"/>
      <c r="L60" s="6">
        <f>IF(OR($K60="",$J60="Livré",$J60="Soldé"),"",$K60-TODAY())</f>
        <v/>
      </c>
    </row>
    <row r="61">
      <c r="A61" s="2" t="n"/>
      <c r="B61" s="2" t="n"/>
      <c r="C61" s="2" t="n"/>
      <c r="D61" s="3" t="n"/>
      <c r="E61" s="3" t="n"/>
      <c r="F61" s="4">
        <f>IF($D61="","",IF($J61="Soldé",0,$D61-$E61))</f>
        <v/>
      </c>
      <c r="G61" s="5" t="n"/>
      <c r="H61" s="5" t="n"/>
      <c r="I61" s="6">
        <f>IF($G61="","",$G61-$H61)</f>
        <v/>
      </c>
      <c r="J61" s="2" t="n"/>
      <c r="K61" s="7" t="n"/>
      <c r="L61" s="6">
        <f>IF(OR($K61="",$J61="Livré",$J61="Soldé"),"",$K61-TODAY())</f>
        <v/>
      </c>
    </row>
    <row r="62">
      <c r="A62" s="2" t="n"/>
      <c r="B62" s="2" t="n"/>
      <c r="C62" s="2" t="n"/>
      <c r="D62" s="3" t="n"/>
      <c r="E62" s="3" t="n"/>
      <c r="F62" s="4">
        <f>IF($D62="","",IF($J62="Soldé",0,$D62-$E62))</f>
        <v/>
      </c>
      <c r="G62" s="5" t="n"/>
      <c r="H62" s="5" t="n"/>
      <c r="I62" s="6">
        <f>IF($G62="","",$G62-$H62)</f>
        <v/>
      </c>
      <c r="J62" s="2" t="n"/>
      <c r="K62" s="7" t="n"/>
      <c r="L62" s="6">
        <f>IF(OR($K62="",$J62="Livré",$J62="Soldé"),"",$K62-TODAY())</f>
        <v/>
      </c>
    </row>
    <row r="63">
      <c r="A63" s="2" t="n"/>
      <c r="B63" s="2" t="n"/>
      <c r="C63" s="2" t="n"/>
      <c r="D63" s="3" t="n"/>
      <c r="E63" s="3" t="n"/>
      <c r="F63" s="4">
        <f>IF($D63="","",IF($J63="Soldé",0,$D63-$E63))</f>
        <v/>
      </c>
      <c r="G63" s="5" t="n"/>
      <c r="H63" s="5" t="n"/>
      <c r="I63" s="6">
        <f>IF($G63="","",$G63-$H63)</f>
        <v/>
      </c>
      <c r="J63" s="2" t="n"/>
      <c r="K63" s="7" t="n"/>
      <c r="L63" s="6">
        <f>IF(OR($K63="",$J63="Livré",$J63="Soldé"),"",$K63-TODAY())</f>
        <v/>
      </c>
    </row>
    <row r="64">
      <c r="A64" s="2" t="n"/>
      <c r="B64" s="2" t="n"/>
      <c r="C64" s="2" t="n"/>
      <c r="D64" s="3" t="n"/>
      <c r="E64" s="3" t="n"/>
      <c r="F64" s="4">
        <f>IF($D64="","",IF($J64="Soldé",0,$D64-$E64))</f>
        <v/>
      </c>
      <c r="G64" s="5" t="n"/>
      <c r="H64" s="5" t="n"/>
      <c r="I64" s="6">
        <f>IF($G64="","",$G64-$H64)</f>
        <v/>
      </c>
      <c r="J64" s="2" t="n"/>
      <c r="K64" s="7" t="n"/>
      <c r="L64" s="6">
        <f>IF(OR($K64="",$J64="Livré",$J64="Soldé"),"",$K64-TODAY())</f>
        <v/>
      </c>
    </row>
    <row r="65">
      <c r="A65" s="2" t="n"/>
      <c r="B65" s="2" t="n"/>
      <c r="C65" s="2" t="n"/>
      <c r="D65" s="3" t="n"/>
      <c r="E65" s="3" t="n"/>
      <c r="F65" s="4">
        <f>IF($D65="","",IF($J65="Soldé",0,$D65-$E65))</f>
        <v/>
      </c>
      <c r="G65" s="5" t="n"/>
      <c r="H65" s="5" t="n"/>
      <c r="I65" s="6">
        <f>IF($G65="","",$G65-$H65)</f>
        <v/>
      </c>
      <c r="J65" s="2" t="n"/>
      <c r="K65" s="7" t="n"/>
      <c r="L65" s="6">
        <f>IF(OR($K65="",$J65="Livré",$J65="Soldé"),"",$K65-TODAY())</f>
        <v/>
      </c>
    </row>
    <row r="66">
      <c r="A66" s="2" t="n"/>
      <c r="B66" s="2" t="n"/>
      <c r="C66" s="2" t="n"/>
      <c r="D66" s="3" t="n"/>
      <c r="E66" s="3" t="n"/>
      <c r="F66" s="4">
        <f>IF($D66="","",IF($J66="Soldé",0,$D66-$E66))</f>
        <v/>
      </c>
      <c r="G66" s="5" t="n"/>
      <c r="H66" s="5" t="n"/>
      <c r="I66" s="6">
        <f>IF($G66="","",$G66-$H66)</f>
        <v/>
      </c>
      <c r="J66" s="2" t="n"/>
      <c r="K66" s="7" t="n"/>
      <c r="L66" s="6">
        <f>IF(OR($K66="",$J66="Livré",$J66="Soldé"),"",$K66-TODAY())</f>
        <v/>
      </c>
    </row>
    <row r="67">
      <c r="A67" s="2" t="n"/>
      <c r="B67" s="2" t="n"/>
      <c r="C67" s="2" t="n"/>
      <c r="D67" s="3" t="n"/>
      <c r="E67" s="3" t="n"/>
      <c r="F67" s="4">
        <f>IF($D67="","",IF($J67="Soldé",0,$D67-$E67))</f>
        <v/>
      </c>
      <c r="G67" s="5" t="n"/>
      <c r="H67" s="5" t="n"/>
      <c r="I67" s="6">
        <f>IF($G67="","",$G67-$H67)</f>
        <v/>
      </c>
      <c r="J67" s="2" t="n"/>
      <c r="K67" s="7" t="n"/>
      <c r="L67" s="6">
        <f>IF(OR($K67="",$J67="Livré",$J67="Soldé"),"",$K67-TODAY())</f>
        <v/>
      </c>
    </row>
    <row r="68">
      <c r="A68" s="2" t="n"/>
      <c r="B68" s="2" t="n"/>
      <c r="C68" s="2" t="n"/>
      <c r="D68" s="3" t="n"/>
      <c r="E68" s="3" t="n"/>
      <c r="F68" s="4">
        <f>IF($D68="","",IF($J68="Soldé",0,$D68-$E68))</f>
        <v/>
      </c>
      <c r="G68" s="5" t="n"/>
      <c r="H68" s="5" t="n"/>
      <c r="I68" s="6">
        <f>IF($G68="","",$G68-$H68)</f>
        <v/>
      </c>
      <c r="J68" s="2" t="n"/>
      <c r="K68" s="7" t="n"/>
      <c r="L68" s="6">
        <f>IF(OR($K68="",$J68="Livré",$J68="Soldé"),"",$K68-TODAY())</f>
        <v/>
      </c>
    </row>
    <row r="69">
      <c r="A69" s="2" t="n"/>
      <c r="B69" s="2" t="n"/>
      <c r="C69" s="2" t="n"/>
      <c r="D69" s="3" t="n"/>
      <c r="E69" s="3" t="n"/>
      <c r="F69" s="4">
        <f>IF($D69="","",IF($J69="Soldé",0,$D69-$E69))</f>
        <v/>
      </c>
      <c r="G69" s="5" t="n"/>
      <c r="H69" s="5" t="n"/>
      <c r="I69" s="6">
        <f>IF($G69="","",$G69-$H69)</f>
        <v/>
      </c>
      <c r="J69" s="2" t="n"/>
      <c r="K69" s="7" t="n"/>
      <c r="L69" s="6">
        <f>IF(OR($K69="",$J69="Livré",$J69="Soldé"),"",$K69-TODAY())</f>
        <v/>
      </c>
    </row>
    <row r="70">
      <c r="A70" s="2" t="n"/>
      <c r="B70" s="2" t="n"/>
      <c r="C70" s="2" t="n"/>
      <c r="D70" s="3" t="n"/>
      <c r="E70" s="3" t="n"/>
      <c r="F70" s="4">
        <f>IF($D70="","",IF($J70="Soldé",0,$D70-$E70))</f>
        <v/>
      </c>
      <c r="G70" s="5" t="n"/>
      <c r="H70" s="5" t="n"/>
      <c r="I70" s="6">
        <f>IF($G70="","",$G70-$H70)</f>
        <v/>
      </c>
      <c r="J70" s="2" t="n"/>
      <c r="K70" s="7" t="n"/>
      <c r="L70" s="6">
        <f>IF(OR($K70="",$J70="Livré",$J70="Soldé"),"",$K70-TODAY())</f>
        <v/>
      </c>
    </row>
    <row r="71">
      <c r="A71" s="2" t="n"/>
      <c r="B71" s="2" t="n"/>
      <c r="C71" s="2" t="n"/>
      <c r="D71" s="3" t="n"/>
      <c r="E71" s="3" t="n"/>
      <c r="F71" s="4">
        <f>IF($D71="","",IF($J71="Soldé",0,$D71-$E71))</f>
        <v/>
      </c>
      <c r="G71" s="5" t="n"/>
      <c r="H71" s="5" t="n"/>
      <c r="I71" s="6">
        <f>IF($G71="","",$G71-$H71)</f>
        <v/>
      </c>
      <c r="J71" s="2" t="n"/>
      <c r="K71" s="7" t="n"/>
      <c r="L71" s="6">
        <f>IF(OR($K71="",$J71="Livré",$J71="Soldé"),"",$K71-TODAY())</f>
        <v/>
      </c>
    </row>
    <row r="72">
      <c r="A72" s="2" t="n"/>
      <c r="B72" s="2" t="n"/>
      <c r="C72" s="2" t="n"/>
      <c r="D72" s="3" t="n"/>
      <c r="E72" s="3" t="n"/>
      <c r="F72" s="4">
        <f>IF($D72="","",IF($J72="Soldé",0,$D72-$E72))</f>
        <v/>
      </c>
      <c r="G72" s="5" t="n"/>
      <c r="H72" s="5" t="n"/>
      <c r="I72" s="6">
        <f>IF($G72="","",$G72-$H72)</f>
        <v/>
      </c>
      <c r="J72" s="2" t="n"/>
      <c r="K72" s="7" t="n"/>
      <c r="L72" s="6">
        <f>IF(OR($K72="",$J72="Livré",$J72="Soldé"),"",$K72-TODAY())</f>
        <v/>
      </c>
    </row>
    <row r="73">
      <c r="A73" s="2" t="n"/>
      <c r="B73" s="2" t="n"/>
      <c r="C73" s="2" t="n"/>
      <c r="D73" s="3" t="n"/>
      <c r="E73" s="3" t="n"/>
      <c r="F73" s="4">
        <f>IF($D73="","",IF($J73="Soldé",0,$D73-$E73))</f>
        <v/>
      </c>
      <c r="G73" s="5" t="n"/>
      <c r="H73" s="5" t="n"/>
      <c r="I73" s="6">
        <f>IF($G73="","",$G73-$H73)</f>
        <v/>
      </c>
      <c r="J73" s="2" t="n"/>
      <c r="K73" s="7" t="n"/>
      <c r="L73" s="6">
        <f>IF(OR($K73="",$J73="Livré",$J73="Soldé"),"",$K73-TODAY())</f>
        <v/>
      </c>
    </row>
    <row r="74">
      <c r="A74" s="2" t="n"/>
      <c r="B74" s="2" t="n"/>
      <c r="C74" s="2" t="n"/>
      <c r="D74" s="3" t="n"/>
      <c r="E74" s="3" t="n"/>
      <c r="F74" s="4">
        <f>IF($D74="","",IF($J74="Soldé",0,$D74-$E74))</f>
        <v/>
      </c>
      <c r="G74" s="5" t="n"/>
      <c r="H74" s="5" t="n"/>
      <c r="I74" s="6">
        <f>IF($G74="","",$G74-$H74)</f>
        <v/>
      </c>
      <c r="J74" s="2" t="n"/>
      <c r="K74" s="7" t="n"/>
      <c r="L74" s="6">
        <f>IF(OR($K74="",$J74="Livré",$J74="Soldé"),"",$K74-TODAY())</f>
        <v/>
      </c>
    </row>
    <row r="75">
      <c r="A75" s="2" t="n"/>
      <c r="B75" s="2" t="n"/>
      <c r="C75" s="2" t="n"/>
      <c r="D75" s="3" t="n"/>
      <c r="E75" s="3" t="n"/>
      <c r="F75" s="4">
        <f>IF($D75="","",IF($J75="Soldé",0,$D75-$E75))</f>
        <v/>
      </c>
      <c r="G75" s="5" t="n"/>
      <c r="H75" s="5" t="n"/>
      <c r="I75" s="6">
        <f>IF($G75="","",$G75-$H75)</f>
        <v/>
      </c>
      <c r="J75" s="2" t="n"/>
      <c r="K75" s="7" t="n"/>
      <c r="L75" s="6">
        <f>IF(OR($K75="",$J75="Livré",$J75="Soldé"),"",$K75-TODAY())</f>
        <v/>
      </c>
    </row>
    <row r="76">
      <c r="A76" s="2" t="n"/>
      <c r="B76" s="2" t="n"/>
      <c r="C76" s="2" t="n"/>
      <c r="D76" s="3" t="n"/>
      <c r="E76" s="3" t="n"/>
      <c r="F76" s="4">
        <f>IF($D76="","",IF($J76="Soldé",0,$D76-$E76))</f>
        <v/>
      </c>
      <c r="G76" s="5" t="n"/>
      <c r="H76" s="5" t="n"/>
      <c r="I76" s="6">
        <f>IF($G76="","",$G76-$H76)</f>
        <v/>
      </c>
      <c r="J76" s="2" t="n"/>
      <c r="K76" s="7" t="n"/>
      <c r="L76" s="6">
        <f>IF(OR($K76="",$J76="Livré",$J76="Soldé"),"",$K76-TODAY())</f>
        <v/>
      </c>
    </row>
    <row r="77">
      <c r="A77" s="2" t="n"/>
      <c r="B77" s="2" t="n"/>
      <c r="C77" s="2" t="n"/>
      <c r="D77" s="3" t="n"/>
      <c r="E77" s="3" t="n"/>
      <c r="F77" s="4">
        <f>IF($D77="","",IF($J77="Soldé",0,$D77-$E77))</f>
        <v/>
      </c>
      <c r="G77" s="5" t="n"/>
      <c r="H77" s="5" t="n"/>
      <c r="I77" s="6">
        <f>IF($G77="","",$G77-$H77)</f>
        <v/>
      </c>
      <c r="J77" s="2" t="n"/>
      <c r="K77" s="7" t="n"/>
      <c r="L77" s="6">
        <f>IF(OR($K77="",$J77="Livré",$J77="Soldé"),"",$K77-TODAY())</f>
        <v/>
      </c>
    </row>
    <row r="78">
      <c r="A78" s="2" t="n"/>
      <c r="B78" s="2" t="n"/>
      <c r="C78" s="2" t="n"/>
      <c r="D78" s="3" t="n"/>
      <c r="E78" s="3" t="n"/>
      <c r="F78" s="4">
        <f>IF($D78="","",IF($J78="Soldé",0,$D78-$E78))</f>
        <v/>
      </c>
      <c r="G78" s="5" t="n"/>
      <c r="H78" s="5" t="n"/>
      <c r="I78" s="6">
        <f>IF($G78="","",$G78-$H78)</f>
        <v/>
      </c>
      <c r="J78" s="2" t="n"/>
      <c r="K78" s="7" t="n"/>
      <c r="L78" s="6">
        <f>IF(OR($K78="",$J78="Livré",$J78="Soldé"),"",$K78-TODAY())</f>
        <v/>
      </c>
    </row>
    <row r="79">
      <c r="A79" s="2" t="n"/>
      <c r="B79" s="2" t="n"/>
      <c r="C79" s="2" t="n"/>
      <c r="D79" s="3" t="n"/>
      <c r="E79" s="3" t="n"/>
      <c r="F79" s="4">
        <f>IF($D79="","",IF($J79="Soldé",0,$D79-$E79))</f>
        <v/>
      </c>
      <c r="G79" s="5" t="n"/>
      <c r="H79" s="5" t="n"/>
      <c r="I79" s="6">
        <f>IF($G79="","",$G79-$H79)</f>
        <v/>
      </c>
      <c r="J79" s="2" t="n"/>
      <c r="K79" s="7" t="n"/>
      <c r="L79" s="6">
        <f>IF(OR($K79="",$J79="Livré",$J79="Soldé"),"",$K79-TODAY())</f>
        <v/>
      </c>
    </row>
    <row r="80">
      <c r="A80" s="2" t="n"/>
      <c r="B80" s="2" t="n"/>
      <c r="C80" s="2" t="n"/>
      <c r="D80" s="3" t="n"/>
      <c r="E80" s="3" t="n"/>
      <c r="F80" s="4">
        <f>IF($D80="","",IF($J80="Soldé",0,$D80-$E80))</f>
        <v/>
      </c>
      <c r="G80" s="5" t="n"/>
      <c r="H80" s="5" t="n"/>
      <c r="I80" s="6">
        <f>IF($G80="","",$G80-$H80)</f>
        <v/>
      </c>
      <c r="J80" s="2" t="n"/>
      <c r="K80" s="7" t="n"/>
      <c r="L80" s="6">
        <f>IF(OR($K80="",$J80="Livré",$J80="Soldé"),"",$K80-TODAY())</f>
        <v/>
      </c>
    </row>
    <row r="81">
      <c r="A81" s="2" t="n"/>
      <c r="B81" s="2" t="n"/>
      <c r="C81" s="2" t="n"/>
      <c r="D81" s="3" t="n"/>
      <c r="E81" s="3" t="n"/>
      <c r="F81" s="4">
        <f>IF($D81="","",IF($J81="Soldé",0,$D81-$E81))</f>
        <v/>
      </c>
      <c r="G81" s="5" t="n"/>
      <c r="H81" s="5" t="n"/>
      <c r="I81" s="6">
        <f>IF($G81="","",$G81-$H81)</f>
        <v/>
      </c>
      <c r="J81" s="2" t="n"/>
      <c r="K81" s="7" t="n"/>
      <c r="L81" s="6">
        <f>IF(OR($K81="",$J81="Livré",$J81="Soldé"),"",$K81-TODAY())</f>
        <v/>
      </c>
    </row>
    <row r="82">
      <c r="A82" s="2" t="n"/>
      <c r="B82" s="2" t="n"/>
      <c r="C82" s="2" t="n"/>
      <c r="D82" s="3" t="n"/>
      <c r="E82" s="3" t="n"/>
      <c r="F82" s="4">
        <f>IF($D82="","",IF($J82="Soldé",0,$D82-$E82))</f>
        <v/>
      </c>
      <c r="G82" s="5" t="n"/>
      <c r="H82" s="5" t="n"/>
      <c r="I82" s="6">
        <f>IF($G82="","",$G82-$H82)</f>
        <v/>
      </c>
      <c r="J82" s="2" t="n"/>
      <c r="K82" s="7" t="n"/>
      <c r="L82" s="6">
        <f>IF(OR($K82="",$J82="Livré",$J82="Soldé"),"",$K82-TODAY())</f>
        <v/>
      </c>
    </row>
    <row r="83">
      <c r="A83" s="2" t="n"/>
      <c r="B83" s="2" t="n"/>
      <c r="C83" s="2" t="n"/>
      <c r="D83" s="3" t="n"/>
      <c r="E83" s="3" t="n"/>
      <c r="F83" s="4">
        <f>IF($D83="","",IF($J83="Soldé",0,$D83-$E83))</f>
        <v/>
      </c>
      <c r="G83" s="5" t="n"/>
      <c r="H83" s="5" t="n"/>
      <c r="I83" s="6">
        <f>IF($G83="","",$G83-$H83)</f>
        <v/>
      </c>
      <c r="J83" s="2" t="n"/>
      <c r="K83" s="7" t="n"/>
      <c r="L83" s="6">
        <f>IF(OR($K83="",$J83="Livré",$J83="Soldé"),"",$K83-TODAY())</f>
        <v/>
      </c>
    </row>
    <row r="84">
      <c r="A84" s="2" t="n"/>
      <c r="B84" s="2" t="n"/>
      <c r="C84" s="2" t="n"/>
      <c r="D84" s="3" t="n"/>
      <c r="E84" s="3" t="n"/>
      <c r="F84" s="4">
        <f>IF($D84="","",IF($J84="Soldé",0,$D84-$E84))</f>
        <v/>
      </c>
      <c r="G84" s="5" t="n"/>
      <c r="H84" s="5" t="n"/>
      <c r="I84" s="6">
        <f>IF($G84="","",$G84-$H84)</f>
        <v/>
      </c>
      <c r="J84" s="2" t="n"/>
      <c r="K84" s="7" t="n"/>
      <c r="L84" s="6">
        <f>IF(OR($K84="",$J84="Livré",$J84="Soldé"),"",$K84-TODAY())</f>
        <v/>
      </c>
    </row>
    <row r="85">
      <c r="A85" s="2" t="n"/>
      <c r="B85" s="2" t="n"/>
      <c r="C85" s="2" t="n"/>
      <c r="D85" s="3" t="n"/>
      <c r="E85" s="3" t="n"/>
      <c r="F85" s="4">
        <f>IF($D85="","",IF($J85="Soldé",0,$D85-$E85))</f>
        <v/>
      </c>
      <c r="G85" s="5" t="n"/>
      <c r="H85" s="5" t="n"/>
      <c r="I85" s="6">
        <f>IF($G85="","",$G85-$H85)</f>
        <v/>
      </c>
      <c r="J85" s="2" t="n"/>
      <c r="K85" s="7" t="n"/>
      <c r="L85" s="6">
        <f>IF(OR($K85="",$J85="Livré",$J85="Soldé"),"",$K85-TODAY())</f>
        <v/>
      </c>
    </row>
    <row r="86">
      <c r="A86" s="2" t="n"/>
      <c r="B86" s="2" t="n"/>
      <c r="C86" s="2" t="n"/>
      <c r="D86" s="3" t="n"/>
      <c r="E86" s="3" t="n"/>
      <c r="F86" s="4">
        <f>IF($D86="","",IF($J86="Soldé",0,$D86-$E86))</f>
        <v/>
      </c>
      <c r="G86" s="5" t="n"/>
      <c r="H86" s="5" t="n"/>
      <c r="I86" s="6">
        <f>IF($G86="","",$G86-$H86)</f>
        <v/>
      </c>
      <c r="J86" s="2" t="n"/>
      <c r="K86" s="7" t="n"/>
      <c r="L86" s="6">
        <f>IF(OR($K86="",$J86="Livré",$J86="Soldé"),"",$K86-TODAY())</f>
        <v/>
      </c>
    </row>
    <row r="87">
      <c r="A87" s="2" t="n"/>
      <c r="B87" s="2" t="n"/>
      <c r="C87" s="2" t="n"/>
      <c r="D87" s="3" t="n"/>
      <c r="E87" s="3" t="n"/>
      <c r="F87" s="4">
        <f>IF($D87="","",IF($J87="Soldé",0,$D87-$E87))</f>
        <v/>
      </c>
      <c r="G87" s="5" t="n"/>
      <c r="H87" s="5" t="n"/>
      <c r="I87" s="6">
        <f>IF($G87="","",$G87-$H87)</f>
        <v/>
      </c>
      <c r="J87" s="2" t="n"/>
      <c r="K87" s="7" t="n"/>
      <c r="L87" s="6">
        <f>IF(OR($K87="",$J87="Livré",$J87="Soldé"),"",$K87-TODAY())</f>
        <v/>
      </c>
    </row>
    <row r="88">
      <c r="A88" s="2" t="n"/>
      <c r="B88" s="2" t="n"/>
      <c r="C88" s="2" t="n"/>
      <c r="D88" s="3" t="n"/>
      <c r="E88" s="3" t="n"/>
      <c r="F88" s="4">
        <f>IF($D88="","",IF($J88="Soldé",0,$D88-$E88))</f>
        <v/>
      </c>
      <c r="G88" s="5" t="n"/>
      <c r="H88" s="5" t="n"/>
      <c r="I88" s="6">
        <f>IF($G88="","",$G88-$H88)</f>
        <v/>
      </c>
      <c r="J88" s="2" t="n"/>
      <c r="K88" s="7" t="n"/>
      <c r="L88" s="6">
        <f>IF(OR($K88="",$J88="Livré",$J88="Soldé"),"",$K88-TODAY())</f>
        <v/>
      </c>
    </row>
    <row r="89">
      <c r="A89" s="2" t="n"/>
      <c r="B89" s="2" t="n"/>
      <c r="C89" s="2" t="n"/>
      <c r="D89" s="3" t="n"/>
      <c r="E89" s="3" t="n"/>
      <c r="F89" s="4">
        <f>IF($D89="","",IF($J89="Soldé",0,$D89-$E89))</f>
        <v/>
      </c>
      <c r="G89" s="5" t="n"/>
      <c r="H89" s="5" t="n"/>
      <c r="I89" s="6">
        <f>IF($G89="","",$G89-$H89)</f>
        <v/>
      </c>
      <c r="J89" s="2" t="n"/>
      <c r="K89" s="7" t="n"/>
      <c r="L89" s="6">
        <f>IF(OR($K89="",$J89="Livré",$J89="Soldé"),"",$K89-TODAY())</f>
        <v/>
      </c>
    </row>
    <row r="90">
      <c r="A90" s="2" t="n"/>
      <c r="B90" s="2" t="n"/>
      <c r="C90" s="2" t="n"/>
      <c r="D90" s="3" t="n"/>
      <c r="E90" s="3" t="n"/>
      <c r="F90" s="4">
        <f>IF($D90="","",IF($J90="Soldé",0,$D90-$E90))</f>
        <v/>
      </c>
      <c r="G90" s="5" t="n"/>
      <c r="H90" s="5" t="n"/>
      <c r="I90" s="6">
        <f>IF($G90="","",$G90-$H90)</f>
        <v/>
      </c>
      <c r="J90" s="2" t="n"/>
      <c r="K90" s="7" t="n"/>
      <c r="L90" s="6">
        <f>IF(OR($K90="",$J90="Livré",$J90="Soldé"),"",$K90-TODAY())</f>
        <v/>
      </c>
    </row>
    <row r="91">
      <c r="A91" s="2" t="n"/>
      <c r="B91" s="2" t="n"/>
      <c r="C91" s="2" t="n"/>
      <c r="D91" s="3" t="n"/>
      <c r="E91" s="3" t="n"/>
      <c r="F91" s="4">
        <f>IF($D91="","",IF($J91="Soldé",0,$D91-$E91))</f>
        <v/>
      </c>
      <c r="G91" s="5" t="n"/>
      <c r="H91" s="5" t="n"/>
      <c r="I91" s="6">
        <f>IF($G91="","",$G91-$H91)</f>
        <v/>
      </c>
      <c r="J91" s="2" t="n"/>
      <c r="K91" s="7" t="n"/>
      <c r="L91" s="6">
        <f>IF(OR($K91="",$J91="Livré",$J91="Soldé"),"",$K91-TODAY())</f>
        <v/>
      </c>
    </row>
    <row r="92">
      <c r="A92" s="2" t="n"/>
      <c r="B92" s="2" t="n"/>
      <c r="C92" s="2" t="n"/>
      <c r="D92" s="3" t="n"/>
      <c r="E92" s="3" t="n"/>
      <c r="F92" s="4">
        <f>IF($D92="","",IF($J92="Soldé",0,$D92-$E92))</f>
        <v/>
      </c>
      <c r="G92" s="5" t="n"/>
      <c r="H92" s="5" t="n"/>
      <c r="I92" s="6">
        <f>IF($G92="","",$G92-$H92)</f>
        <v/>
      </c>
      <c r="J92" s="2" t="n"/>
      <c r="K92" s="7" t="n"/>
      <c r="L92" s="6">
        <f>IF(OR($K92="",$J92="Livré",$J92="Soldé"),"",$K92-TODAY())</f>
        <v/>
      </c>
    </row>
    <row r="93">
      <c r="A93" s="2" t="n"/>
      <c r="B93" s="2" t="n"/>
      <c r="C93" s="2" t="n"/>
      <c r="D93" s="3" t="n"/>
      <c r="E93" s="3" t="n"/>
      <c r="F93" s="4">
        <f>IF($D93="","",IF($J93="Soldé",0,$D93-$E93))</f>
        <v/>
      </c>
      <c r="G93" s="5" t="n"/>
      <c r="H93" s="5" t="n"/>
      <c r="I93" s="6">
        <f>IF($G93="","",$G93-$H93)</f>
        <v/>
      </c>
      <c r="J93" s="2" t="n"/>
      <c r="K93" s="7" t="n"/>
      <c r="L93" s="6">
        <f>IF(OR($K93="",$J93="Livré",$J93="Soldé"),"",$K93-TODAY())</f>
        <v/>
      </c>
    </row>
    <row r="94">
      <c r="A94" s="2" t="n"/>
      <c r="B94" s="2" t="n"/>
      <c r="C94" s="2" t="n"/>
      <c r="D94" s="3" t="n"/>
      <c r="E94" s="3" t="n"/>
      <c r="F94" s="4">
        <f>IF($D94="","",IF($J94="Soldé",0,$D94-$E94))</f>
        <v/>
      </c>
      <c r="G94" s="5" t="n"/>
      <c r="H94" s="5" t="n"/>
      <c r="I94" s="6">
        <f>IF($G94="","",$G94-$H94)</f>
        <v/>
      </c>
      <c r="J94" s="2" t="n"/>
      <c r="K94" s="7" t="n"/>
      <c r="L94" s="6">
        <f>IF(OR($K94="",$J94="Livré",$J94="Soldé"),"",$K94-TODAY())</f>
        <v/>
      </c>
    </row>
    <row r="95">
      <c r="A95" s="2" t="n"/>
      <c r="B95" s="2" t="n"/>
      <c r="C95" s="2" t="n"/>
      <c r="D95" s="3" t="n"/>
      <c r="E95" s="3" t="n"/>
      <c r="F95" s="4">
        <f>IF($D95="","",IF($J95="Soldé",0,$D95-$E95))</f>
        <v/>
      </c>
      <c r="G95" s="5" t="n"/>
      <c r="H95" s="5" t="n"/>
      <c r="I95" s="6">
        <f>IF($G95="","",$G95-$H95)</f>
        <v/>
      </c>
      <c r="J95" s="2" t="n"/>
      <c r="K95" s="7" t="n"/>
      <c r="L95" s="6">
        <f>IF(OR($K95="",$J95="Livré",$J95="Soldé"),"",$K95-TODAY())</f>
        <v/>
      </c>
    </row>
    <row r="96">
      <c r="A96" s="2" t="n"/>
      <c r="B96" s="2" t="n"/>
      <c r="C96" s="2" t="n"/>
      <c r="D96" s="3" t="n"/>
      <c r="E96" s="3" t="n"/>
      <c r="F96" s="4">
        <f>IF($D96="","",IF($J96="Soldé",0,$D96-$E96))</f>
        <v/>
      </c>
      <c r="G96" s="5" t="n"/>
      <c r="H96" s="5" t="n"/>
      <c r="I96" s="6">
        <f>IF($G96="","",$G96-$H96)</f>
        <v/>
      </c>
      <c r="J96" s="2" t="n"/>
      <c r="K96" s="7" t="n"/>
      <c r="L96" s="6">
        <f>IF(OR($K96="",$J96="Livré",$J96="Soldé"),"",$K96-TODAY())</f>
        <v/>
      </c>
    </row>
    <row r="97">
      <c r="A97" s="2" t="n"/>
      <c r="B97" s="2" t="n"/>
      <c r="C97" s="2" t="n"/>
      <c r="D97" s="3" t="n"/>
      <c r="E97" s="3" t="n"/>
      <c r="F97" s="4">
        <f>IF($D97="","",IF($J97="Soldé",0,$D97-$E97))</f>
        <v/>
      </c>
      <c r="G97" s="5" t="n"/>
      <c r="H97" s="5" t="n"/>
      <c r="I97" s="6">
        <f>IF($G97="","",$G97-$H97)</f>
        <v/>
      </c>
      <c r="J97" s="2" t="n"/>
      <c r="K97" s="7" t="n"/>
      <c r="L97" s="6">
        <f>IF(OR($K97="",$J97="Livré",$J97="Soldé"),"",$K97-TODAY())</f>
        <v/>
      </c>
    </row>
    <row r="98">
      <c r="A98" s="2" t="n"/>
      <c r="B98" s="2" t="n"/>
      <c r="C98" s="2" t="n"/>
      <c r="D98" s="3" t="n"/>
      <c r="E98" s="3" t="n"/>
      <c r="F98" s="4">
        <f>IF($D98="","",IF($J98="Soldé",0,$D98-$E98))</f>
        <v/>
      </c>
      <c r="G98" s="5" t="n"/>
      <c r="H98" s="5" t="n"/>
      <c r="I98" s="6">
        <f>IF($G98="","",$G98-$H98)</f>
        <v/>
      </c>
      <c r="J98" s="2" t="n"/>
      <c r="K98" s="7" t="n"/>
      <c r="L98" s="6">
        <f>IF(OR($K98="",$J98="Livré",$J98="Soldé"),"",$K98-TODAY())</f>
        <v/>
      </c>
    </row>
    <row r="99">
      <c r="A99" s="2" t="n"/>
      <c r="B99" s="2" t="n"/>
      <c r="C99" s="2" t="n"/>
      <c r="D99" s="3" t="n"/>
      <c r="E99" s="3" t="n"/>
      <c r="F99" s="4">
        <f>IF($D99="","",IF($J99="Soldé",0,$D99-$E99))</f>
        <v/>
      </c>
      <c r="G99" s="5" t="n"/>
      <c r="H99" s="5" t="n"/>
      <c r="I99" s="6">
        <f>IF($G99="","",$G99-$H99)</f>
        <v/>
      </c>
      <c r="J99" s="2" t="n"/>
      <c r="K99" s="7" t="n"/>
      <c r="L99" s="6">
        <f>IF(OR($K99="",$J99="Livré",$J99="Soldé"),"",$K99-TODAY())</f>
        <v/>
      </c>
    </row>
    <row r="100">
      <c r="A100" s="2" t="n"/>
      <c r="B100" s="2" t="n"/>
      <c r="C100" s="2" t="n"/>
      <c r="D100" s="3" t="n"/>
      <c r="E100" s="3" t="n"/>
      <c r="F100" s="4">
        <f>IF($D100="","",IF($J100="Soldé",0,$D100-$E100))</f>
        <v/>
      </c>
      <c r="G100" s="5" t="n"/>
      <c r="H100" s="5" t="n"/>
      <c r="I100" s="6">
        <f>IF($G100="","",$G100-$H100)</f>
        <v/>
      </c>
      <c r="J100" s="2" t="n"/>
      <c r="K100" s="7" t="n"/>
      <c r="L100" s="6">
        <f>IF(OR($K100="",$J100="Livré",$J100="Soldé"),"",$K100-TODAY())</f>
        <v/>
      </c>
    </row>
    <row r="101">
      <c r="A101" s="2" t="n"/>
      <c r="B101" s="2" t="n"/>
      <c r="C101" s="2" t="n"/>
      <c r="D101" s="3" t="n"/>
      <c r="E101" s="3" t="n"/>
      <c r="F101" s="4">
        <f>IF($D101="","",IF($J101="Soldé",0,$D101-$E101))</f>
        <v/>
      </c>
      <c r="G101" s="5" t="n"/>
      <c r="H101" s="5" t="n"/>
      <c r="I101" s="6">
        <f>IF($G101="","",$G101-$H101)</f>
        <v/>
      </c>
      <c r="J101" s="2" t="n"/>
      <c r="K101" s="7" t="n"/>
      <c r="L101" s="6">
        <f>IF(OR($K101="",$J101="Livré",$J101="Soldé"),"",$K101-TODAY())</f>
        <v/>
      </c>
    </row>
    <row r="102">
      <c r="A102" s="2" t="n"/>
      <c r="B102" s="2" t="n"/>
      <c r="C102" s="2" t="n"/>
      <c r="D102" s="3" t="n"/>
      <c r="E102" s="3" t="n"/>
      <c r="F102" s="4">
        <f>IF($D102="","",IF($J102="Soldé",0,$D102-$E102))</f>
        <v/>
      </c>
      <c r="G102" s="5" t="n"/>
      <c r="H102" s="5" t="n"/>
      <c r="I102" s="6">
        <f>IF($G102="","",$G102-$H102)</f>
        <v/>
      </c>
      <c r="J102" s="2" t="n"/>
      <c r="K102" s="7" t="n"/>
      <c r="L102" s="6">
        <f>IF(OR($K102="",$J102="Livré",$J102="Soldé"),"",$K102-TODAY())</f>
        <v/>
      </c>
    </row>
    <row r="103">
      <c r="A103" s="2" t="n"/>
      <c r="B103" s="2" t="n"/>
      <c r="C103" s="2" t="n"/>
      <c r="D103" s="3" t="n"/>
      <c r="E103" s="3" t="n"/>
      <c r="F103" s="4">
        <f>IF($D103="","",IF($J103="Soldé",0,$D103-$E103))</f>
        <v/>
      </c>
      <c r="G103" s="5" t="n"/>
      <c r="H103" s="5" t="n"/>
      <c r="I103" s="6">
        <f>IF($G103="","",$G103-$H103)</f>
        <v/>
      </c>
      <c r="J103" s="2" t="n"/>
      <c r="K103" s="7" t="n"/>
      <c r="L103" s="6">
        <f>IF(OR($K103="",$J103="Livré",$J103="Soldé"),"",$K103-TODAY())</f>
        <v/>
      </c>
    </row>
    <row r="104">
      <c r="A104" s="2" t="n"/>
      <c r="B104" s="2" t="n"/>
      <c r="C104" s="2" t="n"/>
      <c r="D104" s="3" t="n"/>
      <c r="E104" s="3" t="n"/>
      <c r="F104" s="4">
        <f>IF($D104="","",IF($J104="Soldé",0,$D104-$E104))</f>
        <v/>
      </c>
      <c r="G104" s="5" t="n"/>
      <c r="H104" s="5" t="n"/>
      <c r="I104" s="6">
        <f>IF($G104="","",$G104-$H104)</f>
        <v/>
      </c>
      <c r="J104" s="2" t="n"/>
      <c r="K104" s="7" t="n"/>
      <c r="L104" s="6">
        <f>IF(OR($K104="",$J104="Livré",$J104="Soldé"),"",$K104-TODAY())</f>
        <v/>
      </c>
    </row>
    <row r="105">
      <c r="A105" s="2" t="n"/>
      <c r="B105" s="2" t="n"/>
      <c r="C105" s="2" t="n"/>
      <c r="D105" s="3" t="n"/>
      <c r="E105" s="3" t="n"/>
      <c r="F105" s="4">
        <f>IF($D105="","",IF($J105="Soldé",0,$D105-$E105))</f>
        <v/>
      </c>
      <c r="G105" s="5" t="n"/>
      <c r="H105" s="5" t="n"/>
      <c r="I105" s="6">
        <f>IF($G105="","",$G105-$H105)</f>
        <v/>
      </c>
      <c r="J105" s="2" t="n"/>
      <c r="K105" s="7" t="n"/>
      <c r="L105" s="6">
        <f>IF(OR($K105="",$J105="Livré",$J105="Soldé"),"",$K105-TODAY())</f>
        <v/>
      </c>
    </row>
    <row r="106">
      <c r="A106" s="2" t="n"/>
      <c r="B106" s="2" t="n"/>
      <c r="C106" s="2" t="n"/>
      <c r="D106" s="3" t="n"/>
      <c r="E106" s="3" t="n"/>
      <c r="F106" s="4">
        <f>IF($D106="","",IF($J106="Soldé",0,$D106-$E106))</f>
        <v/>
      </c>
      <c r="G106" s="5" t="n"/>
      <c r="H106" s="5" t="n"/>
      <c r="I106" s="6">
        <f>IF($G106="","",$G106-$H106)</f>
        <v/>
      </c>
      <c r="J106" s="2" t="n"/>
      <c r="K106" s="7" t="n"/>
      <c r="L106" s="6">
        <f>IF(OR($K106="",$J106="Livré",$J106="Soldé"),"",$K106-TODAY())</f>
        <v/>
      </c>
    </row>
    <row r="107">
      <c r="A107" s="2" t="n"/>
      <c r="B107" s="2" t="n"/>
      <c r="C107" s="2" t="n"/>
      <c r="D107" s="3" t="n"/>
      <c r="E107" s="3" t="n"/>
      <c r="F107" s="4">
        <f>IF($D107="","",IF($J107="Soldé",0,$D107-$E107))</f>
        <v/>
      </c>
      <c r="G107" s="5" t="n"/>
      <c r="H107" s="5" t="n"/>
      <c r="I107" s="6">
        <f>IF($G107="","",$G107-$H107)</f>
        <v/>
      </c>
      <c r="J107" s="2" t="n"/>
      <c r="K107" s="7" t="n"/>
      <c r="L107" s="6">
        <f>IF(OR($K107="",$J107="Livré",$J107="Soldé"),"",$K107-TODAY())</f>
        <v/>
      </c>
    </row>
    <row r="108">
      <c r="A108" s="2" t="n"/>
      <c r="B108" s="2" t="n"/>
      <c r="C108" s="2" t="n"/>
      <c r="D108" s="3" t="n"/>
      <c r="E108" s="3" t="n"/>
      <c r="F108" s="4">
        <f>IF($D108="","",IF($J108="Soldé",0,$D108-$E108))</f>
        <v/>
      </c>
      <c r="G108" s="5" t="n"/>
      <c r="H108" s="5" t="n"/>
      <c r="I108" s="6">
        <f>IF($G108="","",$G108-$H108)</f>
        <v/>
      </c>
      <c r="J108" s="2" t="n"/>
      <c r="K108" s="7" t="n"/>
      <c r="L108" s="6">
        <f>IF(OR($K108="",$J108="Livré",$J108="Soldé"),"",$K108-TODAY())</f>
        <v/>
      </c>
    </row>
    <row r="109">
      <c r="A109" s="2" t="n"/>
      <c r="B109" s="2" t="n"/>
      <c r="C109" s="2" t="n"/>
      <c r="D109" s="3" t="n"/>
      <c r="E109" s="3" t="n"/>
      <c r="F109" s="4">
        <f>IF($D109="","",IF($J109="Soldé",0,$D109-$E109))</f>
        <v/>
      </c>
      <c r="G109" s="5" t="n"/>
      <c r="H109" s="5" t="n"/>
      <c r="I109" s="6">
        <f>IF($G109="","",$G109-$H109)</f>
        <v/>
      </c>
      <c r="J109" s="2" t="n"/>
      <c r="K109" s="7" t="n"/>
      <c r="L109" s="6">
        <f>IF(OR($K109="",$J109="Livré",$J109="Soldé"),"",$K109-TODAY())</f>
        <v/>
      </c>
    </row>
    <row r="110">
      <c r="A110" s="2" t="n"/>
      <c r="B110" s="2" t="n"/>
      <c r="C110" s="2" t="n"/>
      <c r="D110" s="3" t="n"/>
      <c r="E110" s="3" t="n"/>
      <c r="F110" s="4">
        <f>IF($D110="","",IF($J110="Soldé",0,$D110-$E110))</f>
        <v/>
      </c>
      <c r="G110" s="5" t="n"/>
      <c r="H110" s="5" t="n"/>
      <c r="I110" s="6">
        <f>IF($G110="","",$G110-$H110)</f>
        <v/>
      </c>
      <c r="J110" s="2" t="n"/>
      <c r="K110" s="7" t="n"/>
      <c r="L110" s="6">
        <f>IF(OR($K110="",$J110="Livré",$J110="Soldé"),"",$K110-TODAY())</f>
        <v/>
      </c>
    </row>
    <row r="111">
      <c r="A111" s="2" t="n"/>
      <c r="B111" s="2" t="n"/>
      <c r="C111" s="2" t="n"/>
      <c r="D111" s="3" t="n"/>
      <c r="E111" s="3" t="n"/>
      <c r="F111" s="4">
        <f>IF($D111="","",IF($J111="Soldé",0,$D111-$E111))</f>
        <v/>
      </c>
      <c r="G111" s="5" t="n"/>
      <c r="H111" s="5" t="n"/>
      <c r="I111" s="6">
        <f>IF($G111="","",$G111-$H111)</f>
        <v/>
      </c>
      <c r="J111" s="2" t="n"/>
      <c r="K111" s="7" t="n"/>
      <c r="L111" s="6">
        <f>IF(OR($K111="",$J111="Livré",$J111="Soldé"),"",$K111-TODAY())</f>
        <v/>
      </c>
    </row>
    <row r="112">
      <c r="A112" s="2" t="n"/>
      <c r="B112" s="2" t="n"/>
      <c r="C112" s="2" t="n"/>
      <c r="D112" s="3" t="n"/>
      <c r="E112" s="3" t="n"/>
      <c r="F112" s="4">
        <f>IF($D112="","",IF($J112="Soldé",0,$D112-$E112))</f>
        <v/>
      </c>
      <c r="G112" s="5" t="n"/>
      <c r="H112" s="5" t="n"/>
      <c r="I112" s="6">
        <f>IF($G112="","",$G112-$H112)</f>
        <v/>
      </c>
      <c r="J112" s="2" t="n"/>
      <c r="K112" s="7" t="n"/>
      <c r="L112" s="6">
        <f>IF(OR($K112="",$J112="Livré",$J112="Soldé"),"",$K112-TODAY())</f>
        <v/>
      </c>
    </row>
    <row r="113">
      <c r="A113" s="2" t="n"/>
      <c r="B113" s="2" t="n"/>
      <c r="C113" s="2" t="n"/>
      <c r="D113" s="3" t="n"/>
      <c r="E113" s="3" t="n"/>
      <c r="F113" s="4">
        <f>IF($D113="","",IF($J113="Soldé",0,$D113-$E113))</f>
        <v/>
      </c>
      <c r="G113" s="5" t="n"/>
      <c r="H113" s="5" t="n"/>
      <c r="I113" s="6">
        <f>IF($G113="","",$G113-$H113)</f>
        <v/>
      </c>
      <c r="J113" s="2" t="n"/>
      <c r="K113" s="7" t="n"/>
      <c r="L113" s="6">
        <f>IF(OR($K113="",$J113="Livré",$J113="Soldé"),"",$K113-TODAY())</f>
        <v/>
      </c>
    </row>
    <row r="114">
      <c r="A114" s="2" t="n"/>
      <c r="B114" s="2" t="n"/>
      <c r="C114" s="2" t="n"/>
      <c r="D114" s="3" t="n"/>
      <c r="E114" s="3" t="n"/>
      <c r="F114" s="4">
        <f>IF($D114="","",IF($J114="Soldé",0,$D114-$E114))</f>
        <v/>
      </c>
      <c r="G114" s="5" t="n"/>
      <c r="H114" s="5" t="n"/>
      <c r="I114" s="6">
        <f>IF($G114="","",$G114-$H114)</f>
        <v/>
      </c>
      <c r="J114" s="2" t="n"/>
      <c r="K114" s="7" t="n"/>
      <c r="L114" s="6">
        <f>IF(OR($K114="",$J114="Livré",$J114="Soldé"),"",$K114-TODAY())</f>
        <v/>
      </c>
    </row>
    <row r="115">
      <c r="A115" s="2" t="n"/>
      <c r="B115" s="2" t="n"/>
      <c r="C115" s="2" t="n"/>
      <c r="D115" s="3" t="n"/>
      <c r="E115" s="3" t="n"/>
      <c r="F115" s="4">
        <f>IF($D115="","",IF($J115="Soldé",0,$D115-$E115))</f>
        <v/>
      </c>
      <c r="G115" s="5" t="n"/>
      <c r="H115" s="5" t="n"/>
      <c r="I115" s="6">
        <f>IF($G115="","",$G115-$H115)</f>
        <v/>
      </c>
      <c r="J115" s="2" t="n"/>
      <c r="K115" s="7" t="n"/>
      <c r="L115" s="6">
        <f>IF(OR($K115="",$J115="Livré",$J115="Soldé"),"",$K115-TODAY())</f>
        <v/>
      </c>
    </row>
    <row r="116">
      <c r="A116" s="2" t="n"/>
      <c r="B116" s="2" t="n"/>
      <c r="C116" s="2" t="n"/>
      <c r="D116" s="3" t="n"/>
      <c r="E116" s="3" t="n"/>
      <c r="F116" s="4">
        <f>IF($D116="","",IF($J116="Soldé",0,$D116-$E116))</f>
        <v/>
      </c>
      <c r="G116" s="5" t="n"/>
      <c r="H116" s="5" t="n"/>
      <c r="I116" s="6">
        <f>IF($G116="","",$G116-$H116)</f>
        <v/>
      </c>
      <c r="J116" s="2" t="n"/>
      <c r="K116" s="7" t="n"/>
      <c r="L116" s="6">
        <f>IF(OR($K116="",$J116="Livré",$J116="Soldé"),"",$K116-TODAY())</f>
        <v/>
      </c>
    </row>
    <row r="117">
      <c r="A117" s="2" t="n"/>
      <c r="B117" s="2" t="n"/>
      <c r="C117" s="2" t="n"/>
      <c r="D117" s="3" t="n"/>
      <c r="E117" s="3" t="n"/>
      <c r="F117" s="4">
        <f>IF($D117="","",IF($J117="Soldé",0,$D117-$E117))</f>
        <v/>
      </c>
      <c r="G117" s="5" t="n"/>
      <c r="H117" s="5" t="n"/>
      <c r="I117" s="6">
        <f>IF($G117="","",$G117-$H117)</f>
        <v/>
      </c>
      <c r="J117" s="2" t="n"/>
      <c r="K117" s="7" t="n"/>
      <c r="L117" s="6">
        <f>IF(OR($K117="",$J117="Livré",$J117="Soldé"),"",$K117-TODAY())</f>
        <v/>
      </c>
    </row>
    <row r="118">
      <c r="A118" s="2" t="n"/>
      <c r="B118" s="2" t="n"/>
      <c r="C118" s="2" t="n"/>
      <c r="D118" s="3" t="n"/>
      <c r="E118" s="3" t="n"/>
      <c r="F118" s="4">
        <f>IF($D118="","",IF($J118="Soldé",0,$D118-$E118))</f>
        <v/>
      </c>
      <c r="G118" s="5" t="n"/>
      <c r="H118" s="5" t="n"/>
      <c r="I118" s="6">
        <f>IF($G118="","",$G118-$H118)</f>
        <v/>
      </c>
      <c r="J118" s="2" t="n"/>
      <c r="K118" s="7" t="n"/>
      <c r="L118" s="6">
        <f>IF(OR($K118="",$J118="Livré",$J118="Soldé"),"",$K118-TODAY())</f>
        <v/>
      </c>
    </row>
    <row r="119">
      <c r="A119" s="2" t="n"/>
      <c r="B119" s="2" t="n"/>
      <c r="C119" s="2" t="n"/>
      <c r="D119" s="3" t="n"/>
      <c r="E119" s="3" t="n"/>
      <c r="F119" s="4">
        <f>IF($D119="","",IF($J119="Soldé",0,$D119-$E119))</f>
        <v/>
      </c>
      <c r="G119" s="5" t="n"/>
      <c r="H119" s="5" t="n"/>
      <c r="I119" s="6">
        <f>IF($G119="","",$G119-$H119)</f>
        <v/>
      </c>
      <c r="J119" s="2" t="n"/>
      <c r="K119" s="7" t="n"/>
      <c r="L119" s="6">
        <f>IF(OR($K119="",$J119="Livré",$J119="Soldé"),"",$K119-TODAY())</f>
        <v/>
      </c>
    </row>
    <row r="120">
      <c r="A120" s="2" t="n"/>
      <c r="B120" s="2" t="n"/>
      <c r="C120" s="2" t="n"/>
      <c r="D120" s="3" t="n"/>
      <c r="E120" s="3" t="n"/>
      <c r="F120" s="4">
        <f>IF($D120="","",IF($J120="Soldé",0,$D120-$E120))</f>
        <v/>
      </c>
      <c r="G120" s="5" t="n"/>
      <c r="H120" s="5" t="n"/>
      <c r="I120" s="6">
        <f>IF($G120="","",$G120-$H120)</f>
        <v/>
      </c>
      <c r="J120" s="2" t="n"/>
      <c r="K120" s="7" t="n"/>
      <c r="L120" s="6">
        <f>IF(OR($K120="",$J120="Livré",$J120="Soldé"),"",$K120-TODAY())</f>
        <v/>
      </c>
    </row>
    <row r="121">
      <c r="A121" s="2" t="n"/>
      <c r="B121" s="2" t="n"/>
      <c r="C121" s="2" t="n"/>
      <c r="D121" s="3" t="n"/>
      <c r="E121" s="3" t="n"/>
      <c r="F121" s="4">
        <f>IF($D121="","",IF($J121="Soldé",0,$D121-$E121))</f>
        <v/>
      </c>
      <c r="G121" s="5" t="n"/>
      <c r="H121" s="5" t="n"/>
      <c r="I121" s="6">
        <f>IF($G121="","",$G121-$H121)</f>
        <v/>
      </c>
      <c r="J121" s="2" t="n"/>
      <c r="K121" s="7" t="n"/>
      <c r="L121" s="6">
        <f>IF(OR($K121="",$J121="Livré",$J121="Soldé"),"",$K121-TODAY())</f>
        <v/>
      </c>
    </row>
    <row r="122">
      <c r="A122" s="2" t="n"/>
      <c r="B122" s="2" t="n"/>
      <c r="C122" s="2" t="n"/>
      <c r="D122" s="3" t="n"/>
      <c r="E122" s="3" t="n"/>
      <c r="F122" s="4">
        <f>IF($D122="","",IF($J122="Soldé",0,$D122-$E122))</f>
        <v/>
      </c>
      <c r="G122" s="5" t="n"/>
      <c r="H122" s="5" t="n"/>
      <c r="I122" s="6">
        <f>IF($G122="","",$G122-$H122)</f>
        <v/>
      </c>
      <c r="J122" s="2" t="n"/>
      <c r="K122" s="7" t="n"/>
      <c r="L122" s="6">
        <f>IF(OR($K122="",$J122="Livré",$J122="Soldé"),"",$K122-TODAY())</f>
        <v/>
      </c>
    </row>
    <row r="123">
      <c r="A123" s="2" t="n"/>
      <c r="B123" s="2" t="n"/>
      <c r="C123" s="2" t="n"/>
      <c r="D123" s="3" t="n"/>
      <c r="E123" s="3" t="n"/>
      <c r="F123" s="4">
        <f>IF($D123="","",IF($J123="Soldé",0,$D123-$E123))</f>
        <v/>
      </c>
      <c r="G123" s="5" t="n"/>
      <c r="H123" s="5" t="n"/>
      <c r="I123" s="6">
        <f>IF($G123="","",$G123-$H123)</f>
        <v/>
      </c>
      <c r="J123" s="2" t="n"/>
      <c r="K123" s="7" t="n"/>
      <c r="L123" s="6">
        <f>IF(OR($K123="",$J123="Livré",$J123="Soldé"),"",$K123-TODAY())</f>
        <v/>
      </c>
    </row>
    <row r="124">
      <c r="A124" s="2" t="n"/>
      <c r="B124" s="2" t="n"/>
      <c r="C124" s="2" t="n"/>
      <c r="D124" s="3" t="n"/>
      <c r="E124" s="3" t="n"/>
      <c r="F124" s="4">
        <f>IF($D124="","",IF($J124="Soldé",0,$D124-$E124))</f>
        <v/>
      </c>
      <c r="G124" s="5" t="n"/>
      <c r="H124" s="5" t="n"/>
      <c r="I124" s="6">
        <f>IF($G124="","",$G124-$H124)</f>
        <v/>
      </c>
      <c r="J124" s="2" t="n"/>
      <c r="K124" s="7" t="n"/>
      <c r="L124" s="6">
        <f>IF(OR($K124="",$J124="Livré",$J124="Soldé"),"",$K124-TODAY())</f>
        <v/>
      </c>
    </row>
    <row r="125">
      <c r="A125" s="2" t="n"/>
      <c r="B125" s="2" t="n"/>
      <c r="C125" s="2" t="n"/>
      <c r="D125" s="3" t="n"/>
      <c r="E125" s="3" t="n"/>
      <c r="F125" s="4">
        <f>IF($D125="","",IF($J125="Soldé",0,$D125-$E125))</f>
        <v/>
      </c>
      <c r="G125" s="5" t="n"/>
      <c r="H125" s="5" t="n"/>
      <c r="I125" s="6">
        <f>IF($G125="","",$G125-$H125)</f>
        <v/>
      </c>
      <c r="J125" s="2" t="n"/>
      <c r="K125" s="7" t="n"/>
      <c r="L125" s="6">
        <f>IF(OR($K125="",$J125="Livré",$J125="Soldé"),"",$K125-TODAY())</f>
        <v/>
      </c>
    </row>
    <row r="126">
      <c r="A126" s="2" t="n"/>
      <c r="B126" s="2" t="n"/>
      <c r="C126" s="2" t="n"/>
      <c r="D126" s="3" t="n"/>
      <c r="E126" s="3" t="n"/>
      <c r="F126" s="4">
        <f>IF($D126="","",IF($J126="Soldé",0,$D126-$E126))</f>
        <v/>
      </c>
      <c r="G126" s="5" t="n"/>
      <c r="H126" s="5" t="n"/>
      <c r="I126" s="6">
        <f>IF($G126="","",$G126-$H126)</f>
        <v/>
      </c>
      <c r="J126" s="2" t="n"/>
      <c r="K126" s="7" t="n"/>
      <c r="L126" s="6">
        <f>IF(OR($K126="",$J126="Livré",$J126="Soldé"),"",$K126-TODAY())</f>
        <v/>
      </c>
    </row>
    <row r="127">
      <c r="A127" s="2" t="n"/>
      <c r="B127" s="2" t="n"/>
      <c r="C127" s="2" t="n"/>
      <c r="D127" s="3" t="n"/>
      <c r="E127" s="3" t="n"/>
      <c r="F127" s="4">
        <f>IF($D127="","",IF($J127="Soldé",0,$D127-$E127))</f>
        <v/>
      </c>
      <c r="G127" s="5" t="n"/>
      <c r="H127" s="5" t="n"/>
      <c r="I127" s="6">
        <f>IF($G127="","",$G127-$H127)</f>
        <v/>
      </c>
      <c r="J127" s="2" t="n"/>
      <c r="K127" s="7" t="n"/>
      <c r="L127" s="6">
        <f>IF(OR($K127="",$J127="Livré",$J127="Soldé"),"",$K127-TODAY())</f>
        <v/>
      </c>
    </row>
    <row r="128">
      <c r="A128" s="2" t="n"/>
      <c r="B128" s="2" t="n"/>
      <c r="C128" s="2" t="n"/>
      <c r="D128" s="3" t="n"/>
      <c r="E128" s="3" t="n"/>
      <c r="F128" s="4">
        <f>IF($D128="","",IF($J128="Soldé",0,$D128-$E128))</f>
        <v/>
      </c>
      <c r="G128" s="5" t="n"/>
      <c r="H128" s="5" t="n"/>
      <c r="I128" s="6">
        <f>IF($G128="","",$G128-$H128)</f>
        <v/>
      </c>
      <c r="J128" s="2" t="n"/>
      <c r="K128" s="7" t="n"/>
      <c r="L128" s="6">
        <f>IF(OR($K128="",$J128="Livré",$J128="Soldé"),"",$K128-TODAY())</f>
        <v/>
      </c>
    </row>
    <row r="129">
      <c r="A129" s="2" t="n"/>
      <c r="B129" s="2" t="n"/>
      <c r="C129" s="2" t="n"/>
      <c r="D129" s="3" t="n"/>
      <c r="E129" s="3" t="n"/>
      <c r="F129" s="4">
        <f>IF($D129="","",IF($J129="Soldé",0,$D129-$E129))</f>
        <v/>
      </c>
      <c r="G129" s="5" t="n"/>
      <c r="H129" s="5" t="n"/>
      <c r="I129" s="6">
        <f>IF($G129="","",$G129-$H129)</f>
        <v/>
      </c>
      <c r="J129" s="2" t="n"/>
      <c r="K129" s="7" t="n"/>
      <c r="L129" s="6">
        <f>IF(OR($K129="",$J129="Livré",$J129="Soldé"),"",$K129-TODAY())</f>
        <v/>
      </c>
    </row>
    <row r="130">
      <c r="A130" s="2" t="n"/>
      <c r="B130" s="2" t="n"/>
      <c r="C130" s="2" t="n"/>
      <c r="D130" s="3" t="n"/>
      <c r="E130" s="3" t="n"/>
      <c r="F130" s="4">
        <f>IF($D130="","",IF($J130="Soldé",0,$D130-$E130))</f>
        <v/>
      </c>
      <c r="G130" s="5" t="n"/>
      <c r="H130" s="5" t="n"/>
      <c r="I130" s="6">
        <f>IF($G130="","",$G130-$H130)</f>
        <v/>
      </c>
      <c r="J130" s="2" t="n"/>
      <c r="K130" s="7" t="n"/>
      <c r="L130" s="6">
        <f>IF(OR($K130="",$J130="Livré",$J130="Soldé"),"",$K130-TODAY())</f>
        <v/>
      </c>
    </row>
    <row r="131">
      <c r="A131" s="2" t="n"/>
      <c r="B131" s="2" t="n"/>
      <c r="C131" s="2" t="n"/>
      <c r="D131" s="3" t="n"/>
      <c r="E131" s="3" t="n"/>
      <c r="F131" s="4">
        <f>IF($D131="","",IF($J131="Soldé",0,$D131-$E131))</f>
        <v/>
      </c>
      <c r="G131" s="5" t="n"/>
      <c r="H131" s="5" t="n"/>
      <c r="I131" s="6">
        <f>IF($G131="","",$G131-$H131)</f>
        <v/>
      </c>
      <c r="J131" s="2" t="n"/>
      <c r="K131" s="7" t="n"/>
      <c r="L131" s="6">
        <f>IF(OR($K131="",$J131="Livré",$J131="Soldé"),"",$K131-TODAY())</f>
        <v/>
      </c>
    </row>
    <row r="132">
      <c r="A132" s="2" t="n"/>
      <c r="B132" s="2" t="n"/>
      <c r="C132" s="2" t="n"/>
      <c r="D132" s="3" t="n"/>
      <c r="E132" s="3" t="n"/>
      <c r="F132" s="4">
        <f>IF($D132="","",IF($J132="Soldé",0,$D132-$E132))</f>
        <v/>
      </c>
      <c r="G132" s="5" t="n"/>
      <c r="H132" s="5" t="n"/>
      <c r="I132" s="6">
        <f>IF($G132="","",$G132-$H132)</f>
        <v/>
      </c>
      <c r="J132" s="2" t="n"/>
      <c r="K132" s="7" t="n"/>
      <c r="L132" s="6">
        <f>IF(OR($K132="",$J132="Livré",$J132="Soldé"),"",$K132-TODAY())</f>
        <v/>
      </c>
    </row>
    <row r="133">
      <c r="A133" s="2" t="n"/>
      <c r="B133" s="2" t="n"/>
      <c r="C133" s="2" t="n"/>
      <c r="D133" s="3" t="n"/>
      <c r="E133" s="3" t="n"/>
      <c r="F133" s="4">
        <f>IF($D133="","",IF($J133="Soldé",0,$D133-$E133))</f>
        <v/>
      </c>
      <c r="G133" s="5" t="n"/>
      <c r="H133" s="5" t="n"/>
      <c r="I133" s="6">
        <f>IF($G133="","",$G133-$H133)</f>
        <v/>
      </c>
      <c r="J133" s="2" t="n"/>
      <c r="K133" s="7" t="n"/>
      <c r="L133" s="6">
        <f>IF(OR($K133="",$J133="Livré",$J133="Soldé"),"",$K133-TODAY())</f>
        <v/>
      </c>
    </row>
    <row r="134">
      <c r="A134" s="2" t="n"/>
      <c r="B134" s="2" t="n"/>
      <c r="C134" s="2" t="n"/>
      <c r="D134" s="3" t="n"/>
      <c r="E134" s="3" t="n"/>
      <c r="F134" s="4">
        <f>IF($D134="","",IF($J134="Soldé",0,$D134-$E134))</f>
        <v/>
      </c>
      <c r="G134" s="5" t="n"/>
      <c r="H134" s="5" t="n"/>
      <c r="I134" s="6">
        <f>IF($G134="","",$G134-$H134)</f>
        <v/>
      </c>
      <c r="J134" s="2" t="n"/>
      <c r="K134" s="7" t="n"/>
      <c r="L134" s="6">
        <f>IF(OR($K134="",$J134="Livré",$J134="Soldé"),"",$K134-TODAY())</f>
        <v/>
      </c>
    </row>
    <row r="135">
      <c r="A135" s="2" t="n"/>
      <c r="B135" s="2" t="n"/>
      <c r="C135" s="2" t="n"/>
      <c r="D135" s="3" t="n"/>
      <c r="E135" s="3" t="n"/>
      <c r="F135" s="4">
        <f>IF($D135="","",IF($J135="Soldé",0,$D135-$E135))</f>
        <v/>
      </c>
      <c r="G135" s="5" t="n"/>
      <c r="H135" s="5" t="n"/>
      <c r="I135" s="6">
        <f>IF($G135="","",$G135-$H135)</f>
        <v/>
      </c>
      <c r="J135" s="2" t="n"/>
      <c r="K135" s="7" t="n"/>
      <c r="L135" s="6">
        <f>IF(OR($K135="",$J135="Livré",$J135="Soldé"),"",$K135-TODAY())</f>
        <v/>
      </c>
    </row>
    <row r="136">
      <c r="A136" s="2" t="n"/>
      <c r="B136" s="2" t="n"/>
      <c r="C136" s="2" t="n"/>
      <c r="D136" s="3" t="n"/>
      <c r="E136" s="3" t="n"/>
      <c r="F136" s="4">
        <f>IF($D136="","",IF($J136="Soldé",0,$D136-$E136))</f>
        <v/>
      </c>
      <c r="G136" s="5" t="n"/>
      <c r="H136" s="5" t="n"/>
      <c r="I136" s="6">
        <f>IF($G136="","",$G136-$H136)</f>
        <v/>
      </c>
      <c r="J136" s="2" t="n"/>
      <c r="K136" s="7" t="n"/>
      <c r="L136" s="6">
        <f>IF(OR($K136="",$J136="Livré",$J136="Soldé"),"",$K136-TODAY())</f>
        <v/>
      </c>
    </row>
    <row r="137">
      <c r="A137" s="2" t="n"/>
      <c r="B137" s="2" t="n"/>
      <c r="C137" s="2" t="n"/>
      <c r="D137" s="3" t="n"/>
      <c r="E137" s="3" t="n"/>
      <c r="F137" s="4">
        <f>IF($D137="","",IF($J137="Soldé",0,$D137-$E137))</f>
        <v/>
      </c>
      <c r="G137" s="5" t="n"/>
      <c r="H137" s="5" t="n"/>
      <c r="I137" s="6">
        <f>IF($G137="","",$G137-$H137)</f>
        <v/>
      </c>
      <c r="J137" s="2" t="n"/>
      <c r="K137" s="7" t="n"/>
      <c r="L137" s="6">
        <f>IF(OR($K137="",$J137="Livré",$J137="Soldé"),"",$K137-TODAY())</f>
        <v/>
      </c>
    </row>
    <row r="138">
      <c r="A138" s="2" t="n"/>
      <c r="B138" s="2" t="n"/>
      <c r="C138" s="2" t="n"/>
      <c r="D138" s="3" t="n"/>
      <c r="E138" s="3" t="n"/>
      <c r="F138" s="4">
        <f>IF($D138="","",IF($J138="Soldé",0,$D138-$E138))</f>
        <v/>
      </c>
      <c r="G138" s="5" t="n"/>
      <c r="H138" s="5" t="n"/>
      <c r="I138" s="6">
        <f>IF($G138="","",$G138-$H138)</f>
        <v/>
      </c>
      <c r="J138" s="2" t="n"/>
      <c r="K138" s="7" t="n"/>
      <c r="L138" s="6">
        <f>IF(OR($K138="",$J138="Livré",$J138="Soldé"),"",$K138-TODAY())</f>
        <v/>
      </c>
    </row>
    <row r="139">
      <c r="A139" s="2" t="n"/>
      <c r="B139" s="2" t="n"/>
      <c r="C139" s="2" t="n"/>
      <c r="D139" s="3" t="n"/>
      <c r="E139" s="3" t="n"/>
      <c r="F139" s="4">
        <f>IF($D139="","",IF($J139="Soldé",0,$D139-$E139))</f>
        <v/>
      </c>
      <c r="G139" s="5" t="n"/>
      <c r="H139" s="5" t="n"/>
      <c r="I139" s="6">
        <f>IF($G139="","",$G139-$H139)</f>
        <v/>
      </c>
      <c r="J139" s="2" t="n"/>
      <c r="K139" s="7" t="n"/>
      <c r="L139" s="6">
        <f>IF(OR($K139="",$J139="Livré",$J139="Soldé"),"",$K139-TODAY())</f>
        <v/>
      </c>
    </row>
    <row r="140">
      <c r="A140" s="2" t="n"/>
      <c r="B140" s="2" t="n"/>
      <c r="C140" s="2" t="n"/>
      <c r="D140" s="3" t="n"/>
      <c r="E140" s="3" t="n"/>
      <c r="F140" s="4">
        <f>IF($D140="","",IF($J140="Soldé",0,$D140-$E140))</f>
        <v/>
      </c>
      <c r="G140" s="5" t="n"/>
      <c r="H140" s="5" t="n"/>
      <c r="I140" s="6">
        <f>IF($G140="","",$G140-$H140)</f>
        <v/>
      </c>
      <c r="J140" s="2" t="n"/>
      <c r="K140" s="7" t="n"/>
      <c r="L140" s="6">
        <f>IF(OR($K140="",$J140="Livré",$J140="Soldé"),"",$K140-TODAY())</f>
        <v/>
      </c>
    </row>
    <row r="141">
      <c r="A141" s="2" t="n"/>
      <c r="B141" s="2" t="n"/>
      <c r="C141" s="2" t="n"/>
      <c r="D141" s="3" t="n"/>
      <c r="E141" s="3" t="n"/>
      <c r="F141" s="4">
        <f>IF($D141="","",IF($J141="Soldé",0,$D141-$E141))</f>
        <v/>
      </c>
      <c r="G141" s="5" t="n"/>
      <c r="H141" s="5" t="n"/>
      <c r="I141" s="6">
        <f>IF($G141="","",$G141-$H141)</f>
        <v/>
      </c>
      <c r="J141" s="2" t="n"/>
      <c r="K141" s="7" t="n"/>
      <c r="L141" s="6">
        <f>IF(OR($K141="",$J141="Livré",$J141="Soldé"),"",$K141-TODAY())</f>
        <v/>
      </c>
    </row>
    <row r="142">
      <c r="A142" s="2" t="n"/>
      <c r="B142" s="2" t="n"/>
      <c r="C142" s="2" t="n"/>
      <c r="D142" s="3" t="n"/>
      <c r="E142" s="3" t="n"/>
      <c r="F142" s="4">
        <f>IF($D142="","",IF($J142="Soldé",0,$D142-$E142))</f>
        <v/>
      </c>
      <c r="G142" s="5" t="n"/>
      <c r="H142" s="5" t="n"/>
      <c r="I142" s="6">
        <f>IF($G142="","",$G142-$H142)</f>
        <v/>
      </c>
      <c r="J142" s="2" t="n"/>
      <c r="K142" s="7" t="n"/>
      <c r="L142" s="6">
        <f>IF(OR($K142="",$J142="Livré",$J142="Soldé"),"",$K142-TODAY())</f>
        <v/>
      </c>
    </row>
    <row r="143">
      <c r="A143" s="2" t="n"/>
      <c r="B143" s="2" t="n"/>
      <c r="C143" s="2" t="n"/>
      <c r="D143" s="3" t="n"/>
      <c r="E143" s="3" t="n"/>
      <c r="F143" s="4">
        <f>IF($D143="","",IF($J143="Soldé",0,$D143-$E143))</f>
        <v/>
      </c>
      <c r="G143" s="5" t="n"/>
      <c r="H143" s="5" t="n"/>
      <c r="I143" s="6">
        <f>IF($G143="","",$G143-$H143)</f>
        <v/>
      </c>
      <c r="J143" s="2" t="n"/>
      <c r="K143" s="7" t="n"/>
      <c r="L143" s="6">
        <f>IF(OR($K143="",$J143="Livré",$J143="Soldé"),"",$K143-TODAY())</f>
        <v/>
      </c>
    </row>
    <row r="144">
      <c r="A144" s="2" t="n"/>
      <c r="B144" s="2" t="n"/>
      <c r="C144" s="2" t="n"/>
      <c r="D144" s="3" t="n"/>
      <c r="E144" s="3" t="n"/>
      <c r="F144" s="4">
        <f>IF($D144="","",IF($J144="Soldé",0,$D144-$E144))</f>
        <v/>
      </c>
      <c r="G144" s="5" t="n"/>
      <c r="H144" s="5" t="n"/>
      <c r="I144" s="6">
        <f>IF($G144="","",$G144-$H144)</f>
        <v/>
      </c>
      <c r="J144" s="2" t="n"/>
      <c r="K144" s="7" t="n"/>
      <c r="L144" s="6">
        <f>IF(OR($K144="",$J144="Livré",$J144="Soldé"),"",$K144-TODAY())</f>
        <v/>
      </c>
    </row>
    <row r="145">
      <c r="A145" s="2" t="n"/>
      <c r="B145" s="2" t="n"/>
      <c r="C145" s="2" t="n"/>
      <c r="D145" s="3" t="n"/>
      <c r="E145" s="3" t="n"/>
      <c r="F145" s="4">
        <f>IF($D145="","",IF($J145="Soldé",0,$D145-$E145))</f>
        <v/>
      </c>
      <c r="G145" s="5" t="n"/>
      <c r="H145" s="5" t="n"/>
      <c r="I145" s="6">
        <f>IF($G145="","",$G145-$H145)</f>
        <v/>
      </c>
      <c r="J145" s="2" t="n"/>
      <c r="K145" s="7" t="n"/>
      <c r="L145" s="6">
        <f>IF(OR($K145="",$J145="Livré",$J145="Soldé"),"",$K145-TODAY())</f>
        <v/>
      </c>
    </row>
    <row r="146">
      <c r="A146" s="2" t="n"/>
      <c r="B146" s="2" t="n"/>
      <c r="C146" s="2" t="n"/>
      <c r="D146" s="3" t="n"/>
      <c r="E146" s="3" t="n"/>
      <c r="F146" s="4">
        <f>IF($D146="","",IF($J146="Soldé",0,$D146-$E146))</f>
        <v/>
      </c>
      <c r="G146" s="5" t="n"/>
      <c r="H146" s="5" t="n"/>
      <c r="I146" s="6">
        <f>IF($G146="","",$G146-$H146)</f>
        <v/>
      </c>
      <c r="J146" s="2" t="n"/>
      <c r="K146" s="7" t="n"/>
      <c r="L146" s="6">
        <f>IF(OR($K146="",$J146="Livré",$J146="Soldé"),"",$K146-TODAY())</f>
        <v/>
      </c>
    </row>
    <row r="147">
      <c r="A147" s="2" t="n"/>
      <c r="B147" s="2" t="n"/>
      <c r="C147" s="2" t="n"/>
      <c r="D147" s="3" t="n"/>
      <c r="E147" s="3" t="n"/>
      <c r="F147" s="4">
        <f>IF($D147="","",IF($J147="Soldé",0,$D147-$E147))</f>
        <v/>
      </c>
      <c r="G147" s="5" t="n"/>
      <c r="H147" s="5" t="n"/>
      <c r="I147" s="6">
        <f>IF($G147="","",$G147-$H147)</f>
        <v/>
      </c>
      <c r="J147" s="2" t="n"/>
      <c r="K147" s="7" t="n"/>
      <c r="L147" s="6">
        <f>IF(OR($K147="",$J147="Livré",$J147="Soldé"),"",$K147-TODAY())</f>
        <v/>
      </c>
    </row>
    <row r="148">
      <c r="A148" s="2" t="n"/>
      <c r="B148" s="2" t="n"/>
      <c r="C148" s="2" t="n"/>
      <c r="D148" s="3" t="n"/>
      <c r="E148" s="3" t="n"/>
      <c r="F148" s="4">
        <f>IF($D148="","",IF($J148="Soldé",0,$D148-$E148))</f>
        <v/>
      </c>
      <c r="G148" s="5" t="n"/>
      <c r="H148" s="5" t="n"/>
      <c r="I148" s="6">
        <f>IF($G148="","",$G148-$H148)</f>
        <v/>
      </c>
      <c r="J148" s="2" t="n"/>
      <c r="K148" s="7" t="n"/>
      <c r="L148" s="6">
        <f>IF(OR($K148="",$J148="Livré",$J148="Soldé"),"",$K148-TODAY())</f>
        <v/>
      </c>
    </row>
    <row r="149">
      <c r="A149" s="2" t="n"/>
      <c r="B149" s="2" t="n"/>
      <c r="C149" s="2" t="n"/>
      <c r="D149" s="3" t="n"/>
      <c r="E149" s="3" t="n"/>
      <c r="F149" s="4">
        <f>IF($D149="","",IF($J149="Soldé",0,$D149-$E149))</f>
        <v/>
      </c>
      <c r="G149" s="5" t="n"/>
      <c r="H149" s="5" t="n"/>
      <c r="I149" s="6">
        <f>IF($G149="","",$G149-$H149)</f>
        <v/>
      </c>
      <c r="J149" s="2" t="n"/>
      <c r="K149" s="7" t="n"/>
      <c r="L149" s="6">
        <f>IF(OR($K149="",$J149="Livré",$J149="Soldé"),"",$K149-TODAY())</f>
        <v/>
      </c>
    </row>
    <row r="150">
      <c r="A150" s="2" t="n"/>
      <c r="B150" s="2" t="n"/>
      <c r="C150" s="2" t="n"/>
      <c r="D150" s="3" t="n"/>
      <c r="E150" s="3" t="n"/>
      <c r="F150" s="4">
        <f>IF($D150="","",IF($J150="Soldé",0,$D150-$E150))</f>
        <v/>
      </c>
      <c r="G150" s="5" t="n"/>
      <c r="H150" s="5" t="n"/>
      <c r="I150" s="6">
        <f>IF($G150="","",$G150-$H150)</f>
        <v/>
      </c>
      <c r="J150" s="2" t="n"/>
      <c r="K150" s="7" t="n"/>
      <c r="L150" s="6">
        <f>IF(OR($K150="",$J150="Livré",$J150="Soldé"),"",$K150-TODAY())</f>
        <v/>
      </c>
    </row>
    <row r="151">
      <c r="A151" s="2" t="n"/>
      <c r="B151" s="2" t="n"/>
      <c r="C151" s="2" t="n"/>
      <c r="D151" s="3" t="n"/>
      <c r="E151" s="3" t="n"/>
      <c r="F151" s="4">
        <f>IF($D151="","",IF($J151="Soldé",0,$D151-$E151))</f>
        <v/>
      </c>
      <c r="G151" s="5" t="n"/>
      <c r="H151" s="5" t="n"/>
      <c r="I151" s="6">
        <f>IF($G151="","",$G151-$H151)</f>
        <v/>
      </c>
      <c r="J151" s="2" t="n"/>
      <c r="K151" s="7" t="n"/>
      <c r="L151" s="6">
        <f>IF(OR($K151="",$J151="Livré",$J151="Soldé"),"",$K151-TODAY())</f>
        <v/>
      </c>
    </row>
    <row r="152">
      <c r="A152" s="2" t="n"/>
      <c r="B152" s="2" t="n"/>
      <c r="C152" s="2" t="n"/>
      <c r="D152" s="3" t="n"/>
      <c r="E152" s="3" t="n"/>
      <c r="F152" s="4">
        <f>IF($D152="","",IF($J152="Soldé",0,$D152-$E152))</f>
        <v/>
      </c>
      <c r="G152" s="5" t="n"/>
      <c r="H152" s="5" t="n"/>
      <c r="I152" s="6">
        <f>IF($G152="","",$G152-$H152)</f>
        <v/>
      </c>
      <c r="J152" s="2" t="n"/>
      <c r="K152" s="7" t="n"/>
      <c r="L152" s="6">
        <f>IF(OR($K152="",$J152="Livré",$J152="Soldé"),"",$K152-TODAY())</f>
        <v/>
      </c>
    </row>
    <row r="153">
      <c r="A153" s="2" t="n"/>
      <c r="B153" s="2" t="n"/>
      <c r="C153" s="2" t="n"/>
      <c r="D153" s="3" t="n"/>
      <c r="E153" s="3" t="n"/>
      <c r="F153" s="4">
        <f>IF($D153="","",IF($J153="Soldé",0,$D153-$E153))</f>
        <v/>
      </c>
      <c r="G153" s="5" t="n"/>
      <c r="H153" s="5" t="n"/>
      <c r="I153" s="6">
        <f>IF($G153="","",$G153-$H153)</f>
        <v/>
      </c>
      <c r="J153" s="2" t="n"/>
      <c r="K153" s="7" t="n"/>
      <c r="L153" s="6">
        <f>IF(OR($K153="",$J153="Livré",$J153="Soldé"),"",$K153-TODAY())</f>
        <v/>
      </c>
    </row>
    <row r="154">
      <c r="A154" s="2" t="n"/>
      <c r="B154" s="2" t="n"/>
      <c r="C154" s="2" t="n"/>
      <c r="D154" s="3" t="n"/>
      <c r="E154" s="3" t="n"/>
      <c r="F154" s="4">
        <f>IF($D154="","",IF($J154="Soldé",0,$D154-$E154))</f>
        <v/>
      </c>
      <c r="G154" s="5" t="n"/>
      <c r="H154" s="5" t="n"/>
      <c r="I154" s="6">
        <f>IF($G154="","",$G154-$H154)</f>
        <v/>
      </c>
      <c r="J154" s="2" t="n"/>
      <c r="K154" s="7" t="n"/>
      <c r="L154" s="6">
        <f>IF(OR($K154="",$J154="Livré",$J154="Soldé"),"",$K154-TODAY())</f>
        <v/>
      </c>
    </row>
    <row r="155">
      <c r="A155" s="2" t="n"/>
      <c r="B155" s="2" t="n"/>
      <c r="C155" s="2" t="n"/>
      <c r="D155" s="3" t="n"/>
      <c r="E155" s="3" t="n"/>
      <c r="F155" s="4">
        <f>IF($D155="","",IF($J155="Soldé",0,$D155-$E155))</f>
        <v/>
      </c>
      <c r="G155" s="5" t="n"/>
      <c r="H155" s="5" t="n"/>
      <c r="I155" s="6">
        <f>IF($G155="","",$G155-$H155)</f>
        <v/>
      </c>
      <c r="J155" s="2" t="n"/>
      <c r="K155" s="7" t="n"/>
      <c r="L155" s="6">
        <f>IF(OR($K155="",$J155="Livré",$J155="Soldé"),"",$K155-TODAY())</f>
        <v/>
      </c>
    </row>
    <row r="156">
      <c r="A156" s="2" t="n"/>
      <c r="B156" s="2" t="n"/>
      <c r="C156" s="2" t="n"/>
      <c r="D156" s="3" t="n"/>
      <c r="E156" s="3" t="n"/>
      <c r="F156" s="4">
        <f>IF($D156="","",IF($J156="Soldé",0,$D156-$E156))</f>
        <v/>
      </c>
      <c r="G156" s="5" t="n"/>
      <c r="H156" s="5" t="n"/>
      <c r="I156" s="6">
        <f>IF($G156="","",$G156-$H156)</f>
        <v/>
      </c>
      <c r="J156" s="2" t="n"/>
      <c r="K156" s="7" t="n"/>
      <c r="L156" s="6">
        <f>IF(OR($K156="",$J156="Livré",$J156="Soldé"),"",$K156-TODAY())</f>
        <v/>
      </c>
    </row>
    <row r="157">
      <c r="A157" s="2" t="n"/>
      <c r="B157" s="2" t="n"/>
      <c r="C157" s="2" t="n"/>
      <c r="D157" s="3" t="n"/>
      <c r="E157" s="3" t="n"/>
      <c r="F157" s="4">
        <f>IF($D157="","",IF($J157="Soldé",0,$D157-$E157))</f>
        <v/>
      </c>
      <c r="G157" s="5" t="n"/>
      <c r="H157" s="5" t="n"/>
      <c r="I157" s="6">
        <f>IF($G157="","",$G157-$H157)</f>
        <v/>
      </c>
      <c r="J157" s="2" t="n"/>
      <c r="K157" s="7" t="n"/>
      <c r="L157" s="6">
        <f>IF(OR($K157="",$J157="Livré",$J157="Soldé"),"",$K157-TODAY())</f>
        <v/>
      </c>
    </row>
    <row r="158">
      <c r="A158" s="2" t="n"/>
      <c r="B158" s="2" t="n"/>
      <c r="C158" s="2" t="n"/>
      <c r="D158" s="3" t="n"/>
      <c r="E158" s="3" t="n"/>
      <c r="F158" s="4">
        <f>IF($D158="","",IF($J158="Soldé",0,$D158-$E158))</f>
        <v/>
      </c>
      <c r="G158" s="5" t="n"/>
      <c r="H158" s="5" t="n"/>
      <c r="I158" s="6">
        <f>IF($G158="","",$G158-$H158)</f>
        <v/>
      </c>
      <c r="J158" s="2" t="n"/>
      <c r="K158" s="7" t="n"/>
      <c r="L158" s="6">
        <f>IF(OR($K158="",$J158="Livré",$J158="Soldé"),"",$K158-TODAY())</f>
        <v/>
      </c>
    </row>
    <row r="159">
      <c r="A159" s="2" t="n"/>
      <c r="B159" s="2" t="n"/>
      <c r="C159" s="2" t="n"/>
      <c r="D159" s="3" t="n"/>
      <c r="E159" s="3" t="n"/>
      <c r="F159" s="4">
        <f>IF($D159="","",IF($J159="Soldé",0,$D159-$E159))</f>
        <v/>
      </c>
      <c r="G159" s="5" t="n"/>
      <c r="H159" s="5" t="n"/>
      <c r="I159" s="6">
        <f>IF($G159="","",$G159-$H159)</f>
        <v/>
      </c>
      <c r="J159" s="2" t="n"/>
      <c r="K159" s="7" t="n"/>
      <c r="L159" s="6">
        <f>IF(OR($K159="",$J159="Livré",$J159="Soldé"),"",$K159-TODAY())</f>
        <v/>
      </c>
    </row>
    <row r="160">
      <c r="A160" s="2" t="n"/>
      <c r="B160" s="2" t="n"/>
      <c r="C160" s="2" t="n"/>
      <c r="D160" s="3" t="n"/>
      <c r="E160" s="3" t="n"/>
      <c r="F160" s="4">
        <f>IF($D160="","",IF($J160="Soldé",0,$D160-$E160))</f>
        <v/>
      </c>
      <c r="G160" s="5" t="n"/>
      <c r="H160" s="5" t="n"/>
      <c r="I160" s="6">
        <f>IF($G160="","",$G160-$H160)</f>
        <v/>
      </c>
      <c r="J160" s="2" t="n"/>
      <c r="K160" s="7" t="n"/>
      <c r="L160" s="6">
        <f>IF(OR($K160="",$J160="Livré",$J160="Soldé"),"",$K160-TODAY())</f>
        <v/>
      </c>
    </row>
    <row r="161">
      <c r="A161" s="2" t="n"/>
      <c r="B161" s="2" t="n"/>
      <c r="C161" s="2" t="n"/>
      <c r="D161" s="3" t="n"/>
      <c r="E161" s="3" t="n"/>
      <c r="F161" s="4">
        <f>IF($D161="","",IF($J161="Soldé",0,$D161-$E161))</f>
        <v/>
      </c>
      <c r="G161" s="5" t="n"/>
      <c r="H161" s="5" t="n"/>
      <c r="I161" s="6">
        <f>IF($G161="","",$G161-$H161)</f>
        <v/>
      </c>
      <c r="J161" s="2" t="n"/>
      <c r="K161" s="7" t="n"/>
      <c r="L161" s="6">
        <f>IF(OR($K161="",$J161="Livré",$J161="Soldé"),"",$K161-TODAY())</f>
        <v/>
      </c>
    </row>
    <row r="162">
      <c r="A162" s="2" t="n"/>
      <c r="B162" s="2" t="n"/>
      <c r="C162" s="2" t="n"/>
      <c r="D162" s="3" t="n"/>
      <c r="E162" s="3" t="n"/>
      <c r="F162" s="4">
        <f>IF($D162="","",IF($J162="Soldé",0,$D162-$E162))</f>
        <v/>
      </c>
      <c r="G162" s="5" t="n"/>
      <c r="H162" s="5" t="n"/>
      <c r="I162" s="6">
        <f>IF($G162="","",$G162-$H162)</f>
        <v/>
      </c>
      <c r="J162" s="2" t="n"/>
      <c r="K162" s="7" t="n"/>
      <c r="L162" s="6">
        <f>IF(OR($K162="",$J162="Livré",$J162="Soldé"),"",$K162-TODAY())</f>
        <v/>
      </c>
    </row>
    <row r="163">
      <c r="A163" s="2" t="n"/>
      <c r="B163" s="2" t="n"/>
      <c r="C163" s="2" t="n"/>
      <c r="D163" s="3" t="n"/>
      <c r="E163" s="3" t="n"/>
      <c r="F163" s="4">
        <f>IF($D163="","",IF($J163="Soldé",0,$D163-$E163))</f>
        <v/>
      </c>
      <c r="G163" s="5" t="n"/>
      <c r="H163" s="5" t="n"/>
      <c r="I163" s="6">
        <f>IF($G163="","",$G163-$H163)</f>
        <v/>
      </c>
      <c r="J163" s="2" t="n"/>
      <c r="K163" s="7" t="n"/>
      <c r="L163" s="6">
        <f>IF(OR($K163="",$J163="Livré",$J163="Soldé"),"",$K163-TODAY())</f>
        <v/>
      </c>
    </row>
    <row r="164">
      <c r="A164" s="2" t="n"/>
      <c r="B164" s="2" t="n"/>
      <c r="C164" s="2" t="n"/>
      <c r="D164" s="3" t="n"/>
      <c r="E164" s="3" t="n"/>
      <c r="F164" s="4">
        <f>IF($D164="","",IF($J164="Soldé",0,$D164-$E164))</f>
        <v/>
      </c>
      <c r="G164" s="5" t="n"/>
      <c r="H164" s="5" t="n"/>
      <c r="I164" s="6">
        <f>IF($G164="","",$G164-$H164)</f>
        <v/>
      </c>
      <c r="J164" s="2" t="n"/>
      <c r="K164" s="7" t="n"/>
      <c r="L164" s="6">
        <f>IF(OR($K164="",$J164="Livré",$J164="Soldé"),"",$K164-TODAY())</f>
        <v/>
      </c>
    </row>
    <row r="165">
      <c r="A165" s="2" t="n"/>
      <c r="B165" s="2" t="n"/>
      <c r="C165" s="2" t="n"/>
      <c r="D165" s="3" t="n"/>
      <c r="E165" s="3" t="n"/>
      <c r="F165" s="4">
        <f>IF($D165="","",IF($J165="Soldé",0,$D165-$E165))</f>
        <v/>
      </c>
      <c r="G165" s="5" t="n"/>
      <c r="H165" s="5" t="n"/>
      <c r="I165" s="6">
        <f>IF($G165="","",$G165-$H165)</f>
        <v/>
      </c>
      <c r="J165" s="2" t="n"/>
      <c r="K165" s="7" t="n"/>
      <c r="L165" s="6">
        <f>IF(OR($K165="",$J165="Livré",$J165="Soldé"),"",$K165-TODAY())</f>
        <v/>
      </c>
    </row>
    <row r="166">
      <c r="A166" s="2" t="n"/>
      <c r="B166" s="2" t="n"/>
      <c r="C166" s="2" t="n"/>
      <c r="D166" s="3" t="n"/>
      <c r="E166" s="3" t="n"/>
      <c r="F166" s="4">
        <f>IF($D166="","",IF($J166="Soldé",0,$D166-$E166))</f>
        <v/>
      </c>
      <c r="G166" s="5" t="n"/>
      <c r="H166" s="5" t="n"/>
      <c r="I166" s="6">
        <f>IF($G166="","",$G166-$H166)</f>
        <v/>
      </c>
      <c r="J166" s="2" t="n"/>
      <c r="K166" s="7" t="n"/>
      <c r="L166" s="6">
        <f>IF(OR($K166="",$J166="Livré",$J166="Soldé"),"",$K166-TODAY())</f>
        <v/>
      </c>
    </row>
    <row r="167">
      <c r="A167" s="2" t="n"/>
      <c r="B167" s="2" t="n"/>
      <c r="C167" s="2" t="n"/>
      <c r="D167" s="3" t="n"/>
      <c r="E167" s="3" t="n"/>
      <c r="F167" s="4">
        <f>IF($D167="","",IF($J167="Soldé",0,$D167-$E167))</f>
        <v/>
      </c>
      <c r="G167" s="5" t="n"/>
      <c r="H167" s="5" t="n"/>
      <c r="I167" s="6">
        <f>IF($G167="","",$G167-$H167)</f>
        <v/>
      </c>
      <c r="J167" s="2" t="n"/>
      <c r="K167" s="7" t="n"/>
      <c r="L167" s="6">
        <f>IF(OR($K167="",$J167="Livré",$J167="Soldé"),"",$K167-TODAY())</f>
        <v/>
      </c>
    </row>
    <row r="168">
      <c r="A168" s="2" t="n"/>
      <c r="B168" s="2" t="n"/>
      <c r="C168" s="2" t="n"/>
      <c r="D168" s="3" t="n"/>
      <c r="E168" s="3" t="n"/>
      <c r="F168" s="4">
        <f>IF($D168="","",IF($J168="Soldé",0,$D168-$E168))</f>
        <v/>
      </c>
      <c r="G168" s="5" t="n"/>
      <c r="H168" s="5" t="n"/>
      <c r="I168" s="6">
        <f>IF($G168="","",$G168-$H168)</f>
        <v/>
      </c>
      <c r="J168" s="2" t="n"/>
      <c r="K168" s="7" t="n"/>
      <c r="L168" s="6">
        <f>IF(OR($K168="",$J168="Livré",$J168="Soldé"),"",$K168-TODAY())</f>
        <v/>
      </c>
    </row>
    <row r="169">
      <c r="A169" s="2" t="n"/>
      <c r="B169" s="2" t="n"/>
      <c r="C169" s="2" t="n"/>
      <c r="D169" s="3" t="n"/>
      <c r="E169" s="3" t="n"/>
      <c r="F169" s="4">
        <f>IF($D169="","",IF($J169="Soldé",0,$D169-$E169))</f>
        <v/>
      </c>
      <c r="G169" s="5" t="n"/>
      <c r="H169" s="5" t="n"/>
      <c r="I169" s="6">
        <f>IF($G169="","",$G169-$H169)</f>
        <v/>
      </c>
      <c r="J169" s="2" t="n"/>
      <c r="K169" s="7" t="n"/>
      <c r="L169" s="6">
        <f>IF(OR($K169="",$J169="Livré",$J169="Soldé"),"",$K169-TODAY())</f>
        <v/>
      </c>
    </row>
    <row r="170">
      <c r="A170" s="2" t="n"/>
      <c r="B170" s="2" t="n"/>
      <c r="C170" s="2" t="n"/>
      <c r="D170" s="3" t="n"/>
      <c r="E170" s="3" t="n"/>
      <c r="F170" s="4">
        <f>IF($D170="","",IF($J170="Soldé",0,$D170-$E170))</f>
        <v/>
      </c>
      <c r="G170" s="5" t="n"/>
      <c r="H170" s="5" t="n"/>
      <c r="I170" s="6">
        <f>IF($G170="","",$G170-$H170)</f>
        <v/>
      </c>
      <c r="J170" s="2" t="n"/>
      <c r="K170" s="7" t="n"/>
      <c r="L170" s="6">
        <f>IF(OR($K170="",$J170="Livré",$J170="Soldé"),"",$K170-TODAY())</f>
        <v/>
      </c>
    </row>
    <row r="171">
      <c r="A171" s="2" t="n"/>
      <c r="B171" s="2" t="n"/>
      <c r="C171" s="2" t="n"/>
      <c r="D171" s="3" t="n"/>
      <c r="E171" s="3" t="n"/>
      <c r="F171" s="4">
        <f>IF($D171="","",IF($J171="Soldé",0,$D171-$E171))</f>
        <v/>
      </c>
      <c r="G171" s="5" t="n"/>
      <c r="H171" s="5" t="n"/>
      <c r="I171" s="6">
        <f>IF($G171="","",$G171-$H171)</f>
        <v/>
      </c>
      <c r="J171" s="2" t="n"/>
      <c r="K171" s="7" t="n"/>
      <c r="L171" s="6">
        <f>IF(OR($K171="",$J171="Livré",$J171="Soldé"),"",$K171-TODAY())</f>
        <v/>
      </c>
    </row>
    <row r="172">
      <c r="A172" s="2" t="n"/>
      <c r="B172" s="2" t="n"/>
      <c r="C172" s="2" t="n"/>
      <c r="D172" s="3" t="n"/>
      <c r="E172" s="3" t="n"/>
      <c r="F172" s="4">
        <f>IF($D172="","",IF($J172="Soldé",0,$D172-$E172))</f>
        <v/>
      </c>
      <c r="G172" s="5" t="n"/>
      <c r="H172" s="5" t="n"/>
      <c r="I172" s="6">
        <f>IF($G172="","",$G172-$H172)</f>
        <v/>
      </c>
      <c r="J172" s="2" t="n"/>
      <c r="K172" s="7" t="n"/>
      <c r="L172" s="6">
        <f>IF(OR($K172="",$J172="Livré",$J172="Soldé"),"",$K172-TODAY())</f>
        <v/>
      </c>
    </row>
    <row r="173">
      <c r="A173" s="2" t="n"/>
      <c r="B173" s="2" t="n"/>
      <c r="C173" s="2" t="n"/>
      <c r="D173" s="3" t="n"/>
      <c r="E173" s="3" t="n"/>
      <c r="F173" s="4">
        <f>IF($D173="","",IF($J173="Soldé",0,$D173-$E173))</f>
        <v/>
      </c>
      <c r="G173" s="5" t="n"/>
      <c r="H173" s="5" t="n"/>
      <c r="I173" s="6">
        <f>IF($G173="","",$G173-$H173)</f>
        <v/>
      </c>
      <c r="J173" s="2" t="n"/>
      <c r="K173" s="7" t="n"/>
      <c r="L173" s="6">
        <f>IF(OR($K173="",$J173="Livré",$J173="Soldé"),"",$K173-TODAY())</f>
        <v/>
      </c>
    </row>
    <row r="174">
      <c r="A174" s="2" t="n"/>
      <c r="B174" s="2" t="n"/>
      <c r="C174" s="2" t="n"/>
      <c r="D174" s="3" t="n"/>
      <c r="E174" s="3" t="n"/>
      <c r="F174" s="4">
        <f>IF($D174="","",IF($J174="Soldé",0,$D174-$E174))</f>
        <v/>
      </c>
      <c r="G174" s="5" t="n"/>
      <c r="H174" s="5" t="n"/>
      <c r="I174" s="6">
        <f>IF($G174="","",$G174-$H174)</f>
        <v/>
      </c>
      <c r="J174" s="2" t="n"/>
      <c r="K174" s="7" t="n"/>
      <c r="L174" s="6">
        <f>IF(OR($K174="",$J174="Livré",$J174="Soldé"),"",$K174-TODAY())</f>
        <v/>
      </c>
    </row>
    <row r="175">
      <c r="A175" s="2" t="n"/>
      <c r="B175" s="2" t="n"/>
      <c r="C175" s="2" t="n"/>
      <c r="D175" s="3" t="n"/>
      <c r="E175" s="3" t="n"/>
      <c r="F175" s="4">
        <f>IF($D175="","",IF($J175="Soldé",0,$D175-$E175))</f>
        <v/>
      </c>
      <c r="G175" s="5" t="n"/>
      <c r="H175" s="5" t="n"/>
      <c r="I175" s="6">
        <f>IF($G175="","",$G175-$H175)</f>
        <v/>
      </c>
      <c r="J175" s="2" t="n"/>
      <c r="K175" s="7" t="n"/>
      <c r="L175" s="6">
        <f>IF(OR($K175="",$J175="Livré",$J175="Soldé"),"",$K175-TODAY())</f>
        <v/>
      </c>
    </row>
    <row r="176">
      <c r="A176" s="2" t="n"/>
      <c r="B176" s="2" t="n"/>
      <c r="C176" s="2" t="n"/>
      <c r="D176" s="3" t="n"/>
      <c r="E176" s="3" t="n"/>
      <c r="F176" s="4">
        <f>IF($D176="","",IF($J176="Soldé",0,$D176-$E176))</f>
        <v/>
      </c>
      <c r="G176" s="5" t="n"/>
      <c r="H176" s="5" t="n"/>
      <c r="I176" s="6">
        <f>IF($G176="","",$G176-$H176)</f>
        <v/>
      </c>
      <c r="J176" s="2" t="n"/>
      <c r="K176" s="7" t="n"/>
      <c r="L176" s="6">
        <f>IF(OR($K176="",$J176="Livré",$J176="Soldé"),"",$K176-TODAY())</f>
        <v/>
      </c>
    </row>
    <row r="177">
      <c r="A177" s="2" t="n"/>
      <c r="B177" s="2" t="n"/>
      <c r="C177" s="2" t="n"/>
      <c r="D177" s="3" t="n"/>
      <c r="E177" s="3" t="n"/>
      <c r="F177" s="4">
        <f>IF($D177="","",IF($J177="Soldé",0,$D177-$E177))</f>
        <v/>
      </c>
      <c r="G177" s="5" t="n"/>
      <c r="H177" s="5" t="n"/>
      <c r="I177" s="6">
        <f>IF($G177="","",$G177-$H177)</f>
        <v/>
      </c>
      <c r="J177" s="2" t="n"/>
      <c r="K177" s="7" t="n"/>
      <c r="L177" s="6">
        <f>IF(OR($K177="",$J177="Livré",$J177="Soldé"),"",$K177-TODAY())</f>
        <v/>
      </c>
    </row>
    <row r="178">
      <c r="A178" s="2" t="n"/>
      <c r="B178" s="2" t="n"/>
      <c r="C178" s="2" t="n"/>
      <c r="D178" s="3" t="n"/>
      <c r="E178" s="3" t="n"/>
      <c r="F178" s="4">
        <f>IF($D178="","",IF($J178="Soldé",0,$D178-$E178))</f>
        <v/>
      </c>
      <c r="G178" s="5" t="n"/>
      <c r="H178" s="5" t="n"/>
      <c r="I178" s="6">
        <f>IF($G178="","",$G178-$H178)</f>
        <v/>
      </c>
      <c r="J178" s="2" t="n"/>
      <c r="K178" s="7" t="n"/>
      <c r="L178" s="6">
        <f>IF(OR($K178="",$J178="Livré",$J178="Soldé"),"",$K178-TODAY())</f>
        <v/>
      </c>
    </row>
    <row r="179">
      <c r="A179" s="2" t="n"/>
      <c r="B179" s="2" t="n"/>
      <c r="C179" s="2" t="n"/>
      <c r="D179" s="3" t="n"/>
      <c r="E179" s="3" t="n"/>
      <c r="F179" s="4">
        <f>IF($D179="","",IF($J179="Soldé",0,$D179-$E179))</f>
        <v/>
      </c>
      <c r="G179" s="5" t="n"/>
      <c r="H179" s="5" t="n"/>
      <c r="I179" s="6">
        <f>IF($G179="","",$G179-$H179)</f>
        <v/>
      </c>
      <c r="J179" s="2" t="n"/>
      <c r="K179" s="7" t="n"/>
      <c r="L179" s="6">
        <f>IF(OR($K179="",$J179="Livré",$J179="Soldé"),"",$K179-TODAY())</f>
        <v/>
      </c>
    </row>
    <row r="180">
      <c r="A180" s="2" t="n"/>
      <c r="B180" s="2" t="n"/>
      <c r="C180" s="2" t="n"/>
      <c r="D180" s="3" t="n"/>
      <c r="E180" s="3" t="n"/>
      <c r="F180" s="4">
        <f>IF($D180="","",IF($J180="Soldé",0,$D180-$E180))</f>
        <v/>
      </c>
      <c r="G180" s="5" t="n"/>
      <c r="H180" s="5" t="n"/>
      <c r="I180" s="6">
        <f>IF($G180="","",$G180-$H180)</f>
        <v/>
      </c>
      <c r="J180" s="2" t="n"/>
      <c r="K180" s="7" t="n"/>
      <c r="L180" s="6">
        <f>IF(OR($K180="",$J180="Livré",$J180="Soldé"),"",$K180-TODAY())</f>
        <v/>
      </c>
    </row>
    <row r="181">
      <c r="A181" s="2" t="n"/>
      <c r="B181" s="2" t="n"/>
      <c r="C181" s="2" t="n"/>
      <c r="D181" s="3" t="n"/>
      <c r="E181" s="3" t="n"/>
      <c r="F181" s="4">
        <f>IF($D181="","",IF($J181="Soldé",0,$D181-$E181))</f>
        <v/>
      </c>
      <c r="G181" s="5" t="n"/>
      <c r="H181" s="5" t="n"/>
      <c r="I181" s="6">
        <f>IF($G181="","",$G181-$H181)</f>
        <v/>
      </c>
      <c r="J181" s="2" t="n"/>
      <c r="K181" s="7" t="n"/>
      <c r="L181" s="6">
        <f>IF(OR($K181="",$J181="Livré",$J181="Soldé"),"",$K181-TODAY())</f>
        <v/>
      </c>
    </row>
    <row r="182">
      <c r="A182" s="2" t="n"/>
      <c r="B182" s="2" t="n"/>
      <c r="C182" s="2" t="n"/>
      <c r="D182" s="3" t="n"/>
      <c r="E182" s="3" t="n"/>
      <c r="F182" s="4">
        <f>IF($D182="","",IF($J182="Soldé",0,$D182-$E182))</f>
        <v/>
      </c>
      <c r="G182" s="5" t="n"/>
      <c r="H182" s="5" t="n"/>
      <c r="I182" s="6">
        <f>IF($G182="","",$G182-$H182)</f>
        <v/>
      </c>
      <c r="J182" s="2" t="n"/>
      <c r="K182" s="7" t="n"/>
      <c r="L182" s="6">
        <f>IF(OR($K182="",$J182="Livré",$J182="Soldé"),"",$K182-TODAY())</f>
        <v/>
      </c>
    </row>
    <row r="183">
      <c r="A183" s="2" t="n"/>
      <c r="B183" s="2" t="n"/>
      <c r="C183" s="2" t="n"/>
      <c r="D183" s="3" t="n"/>
      <c r="E183" s="3" t="n"/>
      <c r="F183" s="4">
        <f>IF($D183="","",IF($J183="Soldé",0,$D183-$E183))</f>
        <v/>
      </c>
      <c r="G183" s="5" t="n"/>
      <c r="H183" s="5" t="n"/>
      <c r="I183" s="6">
        <f>IF($G183="","",$G183-$H183)</f>
        <v/>
      </c>
      <c r="J183" s="2" t="n"/>
      <c r="K183" s="7" t="n"/>
      <c r="L183" s="6">
        <f>IF(OR($K183="",$J183="Livré",$J183="Soldé"),"",$K183-TODAY())</f>
        <v/>
      </c>
    </row>
    <row r="184">
      <c r="A184" s="2" t="n"/>
      <c r="B184" s="2" t="n"/>
      <c r="C184" s="2" t="n"/>
      <c r="D184" s="3" t="n"/>
      <c r="E184" s="3" t="n"/>
      <c r="F184" s="4">
        <f>IF($D184="","",IF($J184="Soldé",0,$D184-$E184))</f>
        <v/>
      </c>
      <c r="G184" s="5" t="n"/>
      <c r="H184" s="5" t="n"/>
      <c r="I184" s="6">
        <f>IF($G184="","",$G184-$H184)</f>
        <v/>
      </c>
      <c r="J184" s="2" t="n"/>
      <c r="K184" s="7" t="n"/>
      <c r="L184" s="6">
        <f>IF(OR($K184="",$J184="Livré",$J184="Soldé"),"",$K184-TODAY())</f>
        <v/>
      </c>
    </row>
    <row r="185">
      <c r="A185" s="2" t="n"/>
      <c r="B185" s="2" t="n"/>
      <c r="C185" s="2" t="n"/>
      <c r="D185" s="3" t="n"/>
      <c r="E185" s="3" t="n"/>
      <c r="F185" s="4">
        <f>IF($D185="","",IF($J185="Soldé",0,$D185-$E185))</f>
        <v/>
      </c>
      <c r="G185" s="5" t="n"/>
      <c r="H185" s="5" t="n"/>
      <c r="I185" s="6">
        <f>IF($G185="","",$G185-$H185)</f>
        <v/>
      </c>
      <c r="J185" s="2" t="n"/>
      <c r="K185" s="7" t="n"/>
      <c r="L185" s="6">
        <f>IF(OR($K185="",$J185="Livré",$J185="Soldé"),"",$K185-TODAY())</f>
        <v/>
      </c>
    </row>
    <row r="186">
      <c r="A186" s="2" t="n"/>
      <c r="B186" s="2" t="n"/>
      <c r="C186" s="2" t="n"/>
      <c r="D186" s="3" t="n"/>
      <c r="E186" s="3" t="n"/>
      <c r="F186" s="4">
        <f>IF($D186="","",IF($J186="Soldé",0,$D186-$E186))</f>
        <v/>
      </c>
      <c r="G186" s="5" t="n"/>
      <c r="H186" s="5" t="n"/>
      <c r="I186" s="6">
        <f>IF($G186="","",$G186-$H186)</f>
        <v/>
      </c>
      <c r="J186" s="2" t="n"/>
      <c r="K186" s="7" t="n"/>
      <c r="L186" s="6">
        <f>IF(OR($K186="",$J186="Livré",$J186="Soldé"),"",$K186-TODAY())</f>
        <v/>
      </c>
    </row>
    <row r="187">
      <c r="A187" s="2" t="n"/>
      <c r="B187" s="2" t="n"/>
      <c r="C187" s="2" t="n"/>
      <c r="D187" s="3" t="n"/>
      <c r="E187" s="3" t="n"/>
      <c r="F187" s="4">
        <f>IF($D187="","",IF($J187="Soldé",0,$D187-$E187))</f>
        <v/>
      </c>
      <c r="G187" s="5" t="n"/>
      <c r="H187" s="5" t="n"/>
      <c r="I187" s="6">
        <f>IF($G187="","",$G187-$H187)</f>
        <v/>
      </c>
      <c r="J187" s="2" t="n"/>
      <c r="K187" s="7" t="n"/>
      <c r="L187" s="6">
        <f>IF(OR($K187="",$J187="Livré",$J187="Soldé"),"",$K187-TODAY())</f>
        <v/>
      </c>
    </row>
    <row r="188">
      <c r="A188" s="2" t="n"/>
      <c r="B188" s="2" t="n"/>
      <c r="C188" s="2" t="n"/>
      <c r="D188" s="3" t="n"/>
      <c r="E188" s="3" t="n"/>
      <c r="F188" s="4">
        <f>IF($D188="","",IF($J188="Soldé",0,$D188-$E188))</f>
        <v/>
      </c>
      <c r="G188" s="5" t="n"/>
      <c r="H188" s="5" t="n"/>
      <c r="I188" s="6">
        <f>IF($G188="","",$G188-$H188)</f>
        <v/>
      </c>
      <c r="J188" s="2" t="n"/>
      <c r="K188" s="7" t="n"/>
      <c r="L188" s="6">
        <f>IF(OR($K188="",$J188="Livré",$J188="Soldé"),"",$K188-TODAY())</f>
        <v/>
      </c>
    </row>
    <row r="189">
      <c r="A189" s="2" t="n"/>
      <c r="B189" s="2" t="n"/>
      <c r="C189" s="2" t="n"/>
      <c r="D189" s="3" t="n"/>
      <c r="E189" s="3" t="n"/>
      <c r="F189" s="4">
        <f>IF($D189="","",IF($J189="Soldé",0,$D189-$E189))</f>
        <v/>
      </c>
      <c r="G189" s="5" t="n"/>
      <c r="H189" s="5" t="n"/>
      <c r="I189" s="6">
        <f>IF($G189="","",$G189-$H189)</f>
        <v/>
      </c>
      <c r="J189" s="2" t="n"/>
      <c r="K189" s="7" t="n"/>
      <c r="L189" s="6">
        <f>IF(OR($K189="",$J189="Livré",$J189="Soldé"),"",$K189-TODAY())</f>
        <v/>
      </c>
    </row>
    <row r="190">
      <c r="A190" s="2" t="n"/>
      <c r="B190" s="2" t="n"/>
      <c r="C190" s="2" t="n"/>
      <c r="D190" s="3" t="n"/>
      <c r="E190" s="3" t="n"/>
      <c r="F190" s="4">
        <f>IF($D190="","",IF($J190="Soldé",0,$D190-$E190))</f>
        <v/>
      </c>
      <c r="G190" s="5" t="n"/>
      <c r="H190" s="5" t="n"/>
      <c r="I190" s="6">
        <f>IF($G190="","",$G190-$H190)</f>
        <v/>
      </c>
      <c r="J190" s="2" t="n"/>
      <c r="K190" s="7" t="n"/>
      <c r="L190" s="6">
        <f>IF(OR($K190="",$J190="Livré",$J190="Soldé"),"",$K190-TODAY())</f>
        <v/>
      </c>
    </row>
    <row r="191">
      <c r="A191" s="2" t="n"/>
      <c r="B191" s="2" t="n"/>
      <c r="C191" s="2" t="n"/>
      <c r="D191" s="3" t="n"/>
      <c r="E191" s="3" t="n"/>
      <c r="F191" s="4">
        <f>IF($D191="","",IF($J191="Soldé",0,$D191-$E191))</f>
        <v/>
      </c>
      <c r="G191" s="5" t="n"/>
      <c r="H191" s="5" t="n"/>
      <c r="I191" s="6">
        <f>IF($G191="","",$G191-$H191)</f>
        <v/>
      </c>
      <c r="J191" s="2" t="n"/>
      <c r="K191" s="7" t="n"/>
      <c r="L191" s="6">
        <f>IF(OR($K191="",$J191="Livré",$J191="Soldé"),"",$K191-TODAY())</f>
        <v/>
      </c>
    </row>
    <row r="192">
      <c r="A192" s="2" t="n"/>
      <c r="B192" s="2" t="n"/>
      <c r="C192" s="2" t="n"/>
      <c r="D192" s="3" t="n"/>
      <c r="E192" s="3" t="n"/>
      <c r="F192" s="4">
        <f>IF($D192="","",IF($J192="Soldé",0,$D192-$E192))</f>
        <v/>
      </c>
      <c r="G192" s="5" t="n"/>
      <c r="H192" s="5" t="n"/>
      <c r="I192" s="6">
        <f>IF($G192="","",$G192-$H192)</f>
        <v/>
      </c>
      <c r="J192" s="2" t="n"/>
      <c r="K192" s="7" t="n"/>
      <c r="L192" s="6">
        <f>IF(OR($K192="",$J192="Livré",$J192="Soldé"),"",$K192-TODAY())</f>
        <v/>
      </c>
    </row>
    <row r="193">
      <c r="A193" s="2" t="n"/>
      <c r="B193" s="2" t="n"/>
      <c r="C193" s="2" t="n"/>
      <c r="D193" s="3" t="n"/>
      <c r="E193" s="3" t="n"/>
      <c r="F193" s="4">
        <f>IF($D193="","",IF($J193="Soldé",0,$D193-$E193))</f>
        <v/>
      </c>
      <c r="G193" s="5" t="n"/>
      <c r="H193" s="5" t="n"/>
      <c r="I193" s="6">
        <f>IF($G193="","",$G193-$H193)</f>
        <v/>
      </c>
      <c r="J193" s="2" t="n"/>
      <c r="K193" s="7" t="n"/>
      <c r="L193" s="6">
        <f>IF(OR($K193="",$J193="Livré",$J193="Soldé"),"",$K193-TODAY())</f>
        <v/>
      </c>
    </row>
    <row r="194">
      <c r="A194" s="2" t="n"/>
      <c r="B194" s="2" t="n"/>
      <c r="C194" s="2" t="n"/>
      <c r="D194" s="3" t="n"/>
      <c r="E194" s="3" t="n"/>
      <c r="F194" s="4">
        <f>IF($D194="","",IF($J194="Soldé",0,$D194-$E194))</f>
        <v/>
      </c>
      <c r="G194" s="5" t="n"/>
      <c r="H194" s="5" t="n"/>
      <c r="I194" s="6">
        <f>IF($G194="","",$G194-$H194)</f>
        <v/>
      </c>
      <c r="J194" s="2" t="n"/>
      <c r="K194" s="7" t="n"/>
      <c r="L194" s="6">
        <f>IF(OR($K194="",$J194="Livré",$J194="Soldé"),"",$K194-TODAY())</f>
        <v/>
      </c>
    </row>
    <row r="195">
      <c r="A195" s="2" t="n"/>
      <c r="B195" s="2" t="n"/>
      <c r="C195" s="2" t="n"/>
      <c r="D195" s="3" t="n"/>
      <c r="E195" s="3" t="n"/>
      <c r="F195" s="4">
        <f>IF($D195="","",IF($J195="Soldé",0,$D195-$E195))</f>
        <v/>
      </c>
      <c r="G195" s="5" t="n"/>
      <c r="H195" s="5" t="n"/>
      <c r="I195" s="6">
        <f>IF($G195="","",$G195-$H195)</f>
        <v/>
      </c>
      <c r="J195" s="2" t="n"/>
      <c r="K195" s="7" t="n"/>
      <c r="L195" s="6">
        <f>IF(OR($K195="",$J195="Livré",$J195="Soldé"),"",$K195-TODAY())</f>
        <v/>
      </c>
    </row>
    <row r="196">
      <c r="A196" s="2" t="n"/>
      <c r="B196" s="2" t="n"/>
      <c r="C196" s="2" t="n"/>
      <c r="D196" s="3" t="n"/>
      <c r="E196" s="3" t="n"/>
      <c r="F196" s="4">
        <f>IF($D196="","",IF($J196="Soldé",0,$D196-$E196))</f>
        <v/>
      </c>
      <c r="G196" s="5" t="n"/>
      <c r="H196" s="5" t="n"/>
      <c r="I196" s="6">
        <f>IF($G196="","",$G196-$H196)</f>
        <v/>
      </c>
      <c r="J196" s="2" t="n"/>
      <c r="K196" s="7" t="n"/>
      <c r="L196" s="6">
        <f>IF(OR($K196="",$J196="Livré",$J196="Soldé"),"",$K196-TODAY())</f>
        <v/>
      </c>
    </row>
    <row r="197">
      <c r="A197" s="2" t="n"/>
      <c r="B197" s="2" t="n"/>
      <c r="C197" s="2" t="n"/>
      <c r="D197" s="3" t="n"/>
      <c r="E197" s="3" t="n"/>
      <c r="F197" s="4">
        <f>IF($D197="","",IF($J197="Soldé",0,$D197-$E197))</f>
        <v/>
      </c>
      <c r="G197" s="5" t="n"/>
      <c r="H197" s="5" t="n"/>
      <c r="I197" s="6">
        <f>IF($G197="","",$G197-$H197)</f>
        <v/>
      </c>
      <c r="J197" s="2" t="n"/>
      <c r="K197" s="7" t="n"/>
      <c r="L197" s="6">
        <f>IF(OR($K197="",$J197="Livré",$J197="Soldé"),"",$K197-TODAY())</f>
        <v/>
      </c>
    </row>
    <row r="198">
      <c r="A198" s="2" t="n"/>
      <c r="B198" s="2" t="n"/>
      <c r="C198" s="2" t="n"/>
      <c r="D198" s="3" t="n"/>
      <c r="E198" s="3" t="n"/>
      <c r="F198" s="4">
        <f>IF($D198="","",IF($J198="Soldé",0,$D198-$E198))</f>
        <v/>
      </c>
      <c r="G198" s="5" t="n"/>
      <c r="H198" s="5" t="n"/>
      <c r="I198" s="6">
        <f>IF($G198="","",$G198-$H198)</f>
        <v/>
      </c>
      <c r="J198" s="2" t="n"/>
      <c r="K198" s="7" t="n"/>
      <c r="L198" s="6">
        <f>IF(OR($K198="",$J198="Livré",$J198="Soldé"),"",$K198-TODAY())</f>
        <v/>
      </c>
    </row>
    <row r="199">
      <c r="A199" s="2" t="n"/>
      <c r="B199" s="2" t="n"/>
      <c r="C199" s="2" t="n"/>
      <c r="D199" s="3" t="n"/>
      <c r="E199" s="3" t="n"/>
      <c r="F199" s="4">
        <f>IF($D199="","",IF($J199="Soldé",0,$D199-$E199))</f>
        <v/>
      </c>
      <c r="G199" s="5" t="n"/>
      <c r="H199" s="5" t="n"/>
      <c r="I199" s="6">
        <f>IF($G199="","",$G199-$H199)</f>
        <v/>
      </c>
      <c r="J199" s="2" t="n"/>
      <c r="K199" s="7" t="n"/>
      <c r="L199" s="6">
        <f>IF(OR($K199="",$J199="Livré",$J199="Soldé"),"",$K199-TODAY())</f>
        <v/>
      </c>
    </row>
    <row r="200">
      <c r="A200" s="2" t="n"/>
      <c r="B200" s="2" t="n"/>
      <c r="C200" s="2" t="n"/>
      <c r="D200" s="3" t="n"/>
      <c r="E200" s="3" t="n"/>
      <c r="F200" s="4">
        <f>IF($D200="","",IF($J200="Soldé",0,$D200-$E200))</f>
        <v/>
      </c>
      <c r="G200" s="5" t="n"/>
      <c r="H200" s="5" t="n"/>
      <c r="I200" s="6">
        <f>IF($G200="","",$G200-$H200)</f>
        <v/>
      </c>
      <c r="J200" s="2" t="n"/>
      <c r="K200" s="7" t="n"/>
      <c r="L200" s="6">
        <f>IF(OR($K200="",$J200="Livré",$J200="Soldé"),"",$K200-TODAY())</f>
        <v/>
      </c>
    </row>
    <row r="201">
      <c r="A201" s="2" t="n"/>
      <c r="B201" s="2" t="n"/>
      <c r="C201" s="2" t="n"/>
      <c r="D201" s="3" t="n"/>
      <c r="E201" s="3" t="n"/>
      <c r="F201" s="4">
        <f>IF($D201="","",IF($J201="Soldé",0,$D201-$E201))</f>
        <v/>
      </c>
      <c r="G201" s="5" t="n"/>
      <c r="H201" s="5" t="n"/>
      <c r="I201" s="6">
        <f>IF($G201="","",$G201-$H201)</f>
        <v/>
      </c>
      <c r="J201" s="2" t="n"/>
      <c r="K201" s="7" t="n"/>
      <c r="L201" s="6">
        <f>IF(OR($K201="",$J201="Livré",$J201="Soldé"),"",$K201-TODAY())</f>
        <v/>
      </c>
    </row>
  </sheetData>
  <conditionalFormatting sqref="D2:D201">
    <cfRule type="expression" priority="1" dxfId="0">
      <formula>AND($D2&lt;&gt;"",NOT(ISNUMBER($D2)))</formula>
    </cfRule>
  </conditionalFormatting>
  <conditionalFormatting sqref="E2:E201">
    <cfRule type="expression" priority="2" dxfId="0">
      <formula>AND($E2&lt;&gt;"",NOT(ISNUMBER($E2)))</formula>
    </cfRule>
  </conditionalFormatting>
  <conditionalFormatting sqref="G2:G201">
    <cfRule type="expression" priority="3" dxfId="0">
      <formula>AND($G2&lt;&gt;"",NOT(ISNUMBER($G2)))</formula>
    </cfRule>
  </conditionalFormatting>
  <conditionalFormatting sqref="H2:H201">
    <cfRule type="expression" priority="4" dxfId="0">
      <formula>AND($H2&lt;&gt;"",NOT(ISNUMBER($H2)))</formula>
    </cfRule>
  </conditionalFormatting>
  <conditionalFormatting sqref="J2:J201">
    <cfRule type="cellIs" priority="5" operator="equal" dxfId="1">
      <formula>"Soldé"</formula>
    </cfRule>
  </conditionalFormatting>
  <conditionalFormatting sqref="K2:K201">
    <cfRule type="expression" priority="6" dxfId="0">
      <formula>AND($K2&lt;&gt;"",NOT(ISNUMBER($K2)))</formula>
    </cfRule>
  </conditionalFormatting>
  <conditionalFormatting sqref="I2:I201">
    <cfRule type="expression" priority="7" dxfId="0">
      <formula>AND(ISNUMBER($I2),$I2&lt;0)</formula>
    </cfRule>
  </conditionalFormatting>
  <conditionalFormatting sqref="L2:L201">
    <cfRule type="expression" priority="8" dxfId="0">
      <formula>AND(ISNUMBER($L2),$L2&lt;0)</formula>
    </cfRule>
    <cfRule type="expression" priority="9" dxfId="2">
      <formula>AND(ISNUMBER($L2),$L2&gt;=0,$L2&lt;=2)</formula>
    </cfRule>
  </conditionalFormatting>
  <dataValidations count="1">
    <dataValidation sqref="J2:J201" showDropDown="0" showInputMessage="0" showErrorMessage="0" allowBlank="1" errorTitle="État" error="Choisissez dans la liste : Devis envoyé, Rushes reçus, En montage, En validation, Livré, Soldé." type="list">
      <formula1>"Devis envoyé,Rushes reçus,En montage,En validation,Livré,Soldé"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8" t="inlineStr">
        <is>
          <t>Vos montages en un coup d'œil</t>
        </is>
      </c>
    </row>
    <row r="3">
      <c r="A3" s="2" t="inlineStr">
        <is>
          <t>Projets à l'état : Devis envoyé</t>
        </is>
      </c>
      <c r="B3" s="9">
        <f>COUNTIF(Projets!$J$2:$J$201,"Devis envoyé")</f>
        <v/>
      </c>
    </row>
    <row r="4">
      <c r="A4" s="2" t="inlineStr">
        <is>
          <t>Projets à l'état : Rushes reçus</t>
        </is>
      </c>
      <c r="B4" s="9">
        <f>COUNTIF(Projets!$J$2:$J$201,"Rushes reçus")</f>
        <v/>
      </c>
    </row>
    <row r="5">
      <c r="A5" s="2" t="inlineStr">
        <is>
          <t>Projets à l'état : En montage</t>
        </is>
      </c>
      <c r="B5" s="9">
        <f>COUNTIF(Projets!$J$2:$J$201,"En montage")</f>
        <v/>
      </c>
    </row>
    <row r="6">
      <c r="A6" s="2" t="inlineStr">
        <is>
          <t>Projets à l'état : En validation</t>
        </is>
      </c>
      <c r="B6" s="9">
        <f>COUNTIF(Projets!$J$2:$J$201,"En validation")</f>
        <v/>
      </c>
    </row>
    <row r="7">
      <c r="A7" s="2" t="inlineStr">
        <is>
          <t>Projets à l'état : Livré</t>
        </is>
      </c>
      <c r="B7" s="9">
        <f>COUNTIF(Projets!$J$2:$J$201,"Livré")</f>
        <v/>
      </c>
    </row>
    <row r="8">
      <c r="A8" s="2" t="inlineStr">
        <is>
          <t>Projets à l'état : Soldé</t>
        </is>
      </c>
      <c r="B8" s="9">
        <f>COUNTIF(Projets!$J$2:$J$201,"Soldé")</f>
        <v/>
      </c>
    </row>
    <row r="9">
      <c r="A9" s="2" t="inlineStr">
        <is>
          <t>Total qui reste à recevoir (FCFA)</t>
        </is>
      </c>
      <c r="B9" s="10">
        <f>SUM(Projets!$F$2:$F$201)</f>
        <v/>
      </c>
    </row>
    <row r="10">
      <c r="A10" s="2" t="inlineStr">
        <is>
          <t>Reste à recevoir sur les projets déjà livrés (FCFA)</t>
        </is>
      </c>
      <c r="B10" s="10">
        <f>SUMIFS(Projets!$F$2:$F$201,Projets!$J$2:$J$201,"Livré")</f>
        <v/>
      </c>
    </row>
    <row r="11" ht="32" customHeight="1">
      <c r="A11" s="2" t="inlineStr">
        <is>
          <t>Projets où les versions livrées dépassent ce qui est compris</t>
        </is>
      </c>
      <c r="B11" s="9">
        <f>COUNTIF(Projets!$I$2:$I$201,"&lt;0")</f>
        <v/>
      </c>
    </row>
    <row r="12">
      <c r="A12" s="2" t="inlineStr">
        <is>
          <t>Projets en retard</t>
        </is>
      </c>
      <c r="B12" s="9">
        <f>COUNTIF(Projets!$L$2:$L$201,"&lt;0")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4" customWidth="1" min="3" max="3"/>
    <col width="12" customWidth="1" min="4" max="4"/>
    <col width="12" customWidth="1" min="5" max="5"/>
    <col width="12" customWidth="1" min="6" max="6"/>
    <col width="10" customWidth="1" min="7" max="7"/>
    <col width="9" customWidth="1" min="8" max="8"/>
    <col width="10" customWidth="1" min="9" max="9"/>
    <col width="13" customWidth="1" min="10" max="10"/>
    <col width="12" customWidth="1" min="11" max="11"/>
    <col width="9" customWidth="1" min="12" max="12"/>
  </cols>
  <sheetData>
    <row r="1" ht="16" customHeight="1">
      <c r="A1" s="8" t="inlineStr">
        <is>
          <t>Suivi des projets vidéo : mode d'emploi</t>
        </is>
      </c>
    </row>
    <row r="2" ht="16" customHeight="1"/>
    <row r="3" ht="16" customHeight="1">
      <c r="A3" s="11" t="inlineStr">
        <is>
          <t>COMMENT REMPLIR :</t>
        </is>
      </c>
    </row>
    <row r="4" ht="16" customHeight="1">
      <c r="A4" s="12" t="inlineStr">
        <is>
          <t>1. Une ligne par projet. Écrivez seulement dans les cases blanches : les trois cases grises se calculent seules.</t>
        </is>
      </c>
    </row>
    <row r="5" ht="16" customHeight="1">
      <c r="A5" s="12" t="inlineStr">
        <is>
          <t>2. Client : un prénom ou une enseigne, sans numéro de téléphone.</t>
        </is>
      </c>
    </row>
    <row r="6" ht="32" customHeight="1">
      <c r="A6" s="12" t="inlineStr">
        <is>
          <t>3. Montant du devis et somme déjà reçue : en chiffres, sans « FCFA » ni point : 30000. Le reste à recevoir se calcule seul. À l'état « Soldé », il passe à zéro.</t>
        </is>
      </c>
    </row>
    <row r="7" ht="16" customHeight="1">
      <c r="A7" s="12" t="inlineStr">
        <is>
          <t>4. Versions comprises : le nombre prévu dans votre devis. Versions livrées : ajoutez 1 chaque fois que vous envoyez une vidéo corrigée au client.</t>
        </is>
      </c>
    </row>
    <row r="8" ht="16" customHeight="1">
      <c r="A8" s="12" t="inlineStr">
        <is>
          <t>5. Échéance sous la forme 05/10/2026. Les jours restants s'affichent en orange à 2 jours ou moins, en rouge quand la date est dépassée.</t>
        </is>
      </c>
    </row>
    <row r="9" ht="16" customHeight="1">
      <c r="A9" s="12" t="inlineStr"/>
    </row>
    <row r="10" ht="16" customHeight="1">
      <c r="A10" s="11" t="inlineStr">
        <is>
          <t>QUAND UNE CASE PASSE EN ROUGE :</t>
        </is>
      </c>
    </row>
    <row r="11" ht="16" customHeight="1">
      <c r="A11" s="12" t="inlineStr">
        <is>
          <t>Versions restantes en rouge : le client a dépassé ce qui est compris. C'est le moment de lui parler du supplément, avant de continuer.</t>
        </is>
      </c>
    </row>
    <row r="12" ht="16" customHeight="1">
      <c r="A12" s="12" t="inlineStr"/>
    </row>
    <row r="13" ht="16" customHeight="1">
      <c r="A13" s="11" t="inlineStr">
        <is>
          <t>L'ONGLET RÉSUMÉ :</t>
        </is>
      </c>
    </row>
    <row r="14" ht="16" customHeight="1">
      <c r="A14" s="12" t="inlineStr">
        <is>
          <t>Il compte seul les projets par état, ce qu'il reste à recevoir, les projets livrés non soldés, les versions en trop et les retards.</t>
        </is>
      </c>
    </row>
    <row r="15" ht="16" customHeight="1">
      <c r="A15" s="12" t="inlineStr"/>
    </row>
    <row r="16" ht="16" customHeight="1">
      <c r="A16" s="11" t="inlineStr">
        <is>
          <t>EXEMPLE (ne modifiez pas cet exemple, il sert seulement de modèle) :</t>
        </is>
      </c>
    </row>
    <row r="17" ht="46" customHeight="1">
      <c r="A17" s="1" t="inlineStr">
        <is>
          <t>N°</t>
        </is>
      </c>
      <c r="B17" s="1" t="inlineStr">
        <is>
          <t>Client</t>
        </is>
      </c>
      <c r="C17" s="1" t="inlineStr">
        <is>
          <t>Vidéo à livrer</t>
        </is>
      </c>
      <c r="D17" s="1" t="inlineStr">
        <is>
          <t>Montant du devis (FCFA)</t>
        </is>
      </c>
      <c r="E17" s="1" t="inlineStr">
        <is>
          <t>Déjà reçu (FCFA)</t>
        </is>
      </c>
      <c r="F17" s="1" t="inlineStr">
        <is>
          <t>Reste à recevoir (FCFA)</t>
        </is>
      </c>
      <c r="G17" s="1" t="inlineStr">
        <is>
          <t>Versions comprises</t>
        </is>
      </c>
      <c r="H17" s="1" t="inlineStr">
        <is>
          <t>Versions livrées</t>
        </is>
      </c>
      <c r="I17" s="1" t="inlineStr">
        <is>
          <t>Versions restantes</t>
        </is>
      </c>
      <c r="J17" s="1" t="inlineStr">
        <is>
          <t>État</t>
        </is>
      </c>
      <c r="K17" s="1" t="inlineStr">
        <is>
          <t>Échéance</t>
        </is>
      </c>
      <c r="L17" s="1" t="inlineStr">
        <is>
          <t>Jours restants</t>
        </is>
      </c>
    </row>
    <row r="18" ht="34" customHeight="1">
      <c r="A18" s="2" t="inlineStr">
        <is>
          <t>V-01</t>
        </is>
      </c>
      <c r="B18" s="2" t="inlineStr">
        <is>
          <t>Boutique</t>
        </is>
      </c>
      <c r="C18" s="2" t="inlineStr">
        <is>
          <t>Trois vidéos courtes, format vertical</t>
        </is>
      </c>
      <c r="D18" s="3" t="n">
        <v>30000</v>
      </c>
      <c r="E18" s="3" t="n">
        <v>15000</v>
      </c>
      <c r="F18" s="4">
        <f>D18-E18</f>
        <v/>
      </c>
      <c r="G18" s="5" t="n">
        <v>2</v>
      </c>
      <c r="H18" s="5" t="n">
        <v>1</v>
      </c>
      <c r="I18" s="6">
        <f>G18-H18</f>
        <v/>
      </c>
      <c r="J18" s="2" t="inlineStr">
        <is>
          <t>En validation</t>
        </is>
      </c>
      <c r="K18" s="7" t="n">
        <v>46304</v>
      </c>
      <c r="L18" s="6" t="inlineStr"/>
    </row>
    <row r="19" ht="34" customHeight="1">
      <c r="A19" s="2" t="inlineStr">
        <is>
          <t>V-02</t>
        </is>
      </c>
      <c r="B19" s="2" t="inlineStr">
        <is>
          <t>Restaurant</t>
        </is>
      </c>
      <c r="C19" s="2" t="inlineStr">
        <is>
          <t>Vidéo courte du menu</t>
        </is>
      </c>
      <c r="D19" s="3" t="n">
        <v>10000</v>
      </c>
      <c r="E19" s="3" t="n">
        <v>10000</v>
      </c>
      <c r="F19" s="4">
        <f>D19-E19</f>
        <v/>
      </c>
      <c r="G19" s="5" t="n">
        <v>2</v>
      </c>
      <c r="H19" s="5" t="n">
        <v>3</v>
      </c>
      <c r="I19" s="6">
        <f>G19-H19</f>
        <v/>
      </c>
      <c r="J19" s="2" t="inlineStr">
        <is>
          <t>En montage</t>
        </is>
      </c>
      <c r="K19" s="7" t="n">
        <v>46302</v>
      </c>
      <c r="L19" s="6" t="inlineStr"/>
    </row>
    <row r="21" ht="32" customHeight="1">
      <c r="A21" s="12" t="inlineStr">
        <is>
          <t>Dans cet exemple : pour les trois vidéos, il reste 15 000 FCFA à recevoir et une version comprise. Pour la vidéo du menu, trois versions ont été livrées pour deux comprises : la case affiche -1, en rouge dans votre tableau.</t>
        </is>
      </c>
    </row>
    <row r="23">
      <c r="A23" s="13" t="inlineStr">
        <is>
          <t>Document du kit « Montage vidéo » d'AI WORK KIT.</t>
        </is>
      </c>
    </row>
  </sheetData>
  <mergeCells count="18">
    <mergeCell ref="A2:L2"/>
    <mergeCell ref="A16:L16"/>
    <mergeCell ref="A15:L15"/>
    <mergeCell ref="A10:L10"/>
    <mergeCell ref="A7:L7"/>
    <mergeCell ref="A11:L11"/>
    <mergeCell ref="A1:L1"/>
    <mergeCell ref="A5:L5"/>
    <mergeCell ref="A23:L23"/>
    <mergeCell ref="A13:L13"/>
    <mergeCell ref="A8:L8"/>
    <mergeCell ref="A14:L14"/>
    <mergeCell ref="A6:L6"/>
    <mergeCell ref="A9:L9"/>
    <mergeCell ref="A3:L3"/>
    <mergeCell ref="A21:L21"/>
    <mergeCell ref="A12:L12"/>
    <mergeCell ref="A4:L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2026-10-04T15:37:56Z</dcterms:created>
  <dcterms:modified xmlns:dcterms="http://purl.org/dc/terms/" xmlns:xsi="http://www.w3.org/2001/XMLSchema-instance" xsi:type="dcterms:W3CDTF">2026-10-04T15:37:56Z</dcterms:modified>
</cp:coreProperties>
</file>