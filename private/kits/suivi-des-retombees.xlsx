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mbé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22" customWidth="1" min="4" max="4"/>
    <col width="38" customWidth="1" min="5" max="5"/>
    <col width="11" customWidth="1" min="6" max="6"/>
    <col width="10" customWidth="1" min="7" max="7"/>
    <col width="9" customWidth="1" min="8" max="8"/>
    <col width="22" customWidth="1" min="9" max="9"/>
  </cols>
  <sheetData>
    <row r="1" ht="46" customHeight="1">
      <c r="A1" s="1" t="inlineStr">
        <is>
          <t>Date</t>
        </is>
      </c>
      <c r="B1" s="1" t="inlineStr">
        <is>
          <t>Support</t>
        </is>
      </c>
      <c r="C1" s="1" t="inlineStr">
        <is>
          <t>Type</t>
        </is>
      </c>
      <c r="D1" s="1" t="inlineStr">
        <is>
          <t>Action concernée</t>
        </is>
      </c>
      <c r="E1" s="1" t="inlineStr">
        <is>
          <t>Le résumé, en une ligne</t>
        </is>
      </c>
      <c r="F1" s="1" t="inlineStr">
        <is>
          <t>Ton</t>
        </is>
      </c>
      <c r="G1" s="1" t="inlineStr">
        <is>
          <t>Réponse nécessaire</t>
        </is>
      </c>
      <c r="H1" s="1" t="inlineStr">
        <is>
          <t>Réponse faite</t>
        </is>
      </c>
      <c r="I1" s="1" t="inlineStr">
        <is>
          <t>Lien ou référence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2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2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2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2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2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2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2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2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2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2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2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2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2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2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2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2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2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2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2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2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2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2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2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2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2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2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2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2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2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2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2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2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2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2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2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2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2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2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2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2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2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2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2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2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2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2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2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2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2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2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2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2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2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2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2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2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2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2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2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2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2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2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2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2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2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2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2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2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2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2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2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2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2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2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2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2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2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2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2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2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2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2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2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2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2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2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2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2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2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2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2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2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2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2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2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2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2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2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2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2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2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2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2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2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2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2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2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2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2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2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2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2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2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2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2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2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2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2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2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2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2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2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2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2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2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2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2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2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2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2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2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2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2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2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2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2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2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2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2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2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2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2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2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2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2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2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2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2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2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2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2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2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2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2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2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2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2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2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2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2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2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2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2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2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2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2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2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2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2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2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2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2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2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2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2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2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2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2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2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2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2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2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2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2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2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2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2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2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2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2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2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2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2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2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2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2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2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2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>
      <c r="A401" s="2" t="n"/>
      <c r="B401" s="3" t="n"/>
      <c r="C401" s="3" t="n"/>
      <c r="D401" s="3" t="n"/>
      <c r="E401" s="3" t="n"/>
      <c r="F401" s="3" t="n"/>
      <c r="G401" s="3" t="n"/>
      <c r="H401" s="3" t="n"/>
      <c r="I401" s="3" t="n"/>
    </row>
  </sheetData>
  <conditionalFormatting sqref="A2:A401">
    <cfRule type="expression" priority="1" dxfId="0">
      <formula>AND($A2&lt;&gt;"",NOT(ISNUMBER($A2)))</formula>
    </cfRule>
  </conditionalFormatting>
  <conditionalFormatting sqref="F2:F401">
    <cfRule type="cellIs" priority="2" operator="equal" dxfId="1">
      <formula>"Favorable"</formula>
    </cfRule>
  </conditionalFormatting>
  <conditionalFormatting sqref="H2:H401">
    <cfRule type="expression" priority="3" dxfId="2">
      <formula>AND($G2="Oui",$H2&lt;&gt;"Oui")</formula>
    </cfRule>
  </conditionalFormatting>
  <dataValidations count="4">
    <dataValidation sqref="C2:C401" showDropDown="0" showInputMessage="0" showErrorMessage="0" allowBlank="1" errorTitle="Type" error="Choisissez dans la liste : Radio, Télévision, Presse écrite, Média en ligne, Réseaux sociaux, Autre." type="list">
      <formula1>"Radio,Télévision,Presse écrite,Média en ligne,Réseaux sociaux,Autre"</formula1>
    </dataValidation>
    <dataValidation sqref="F2:F401" showDropDown="0" showInputMessage="0" showErrorMessage="0" allowBlank="1" errorTitle="Ton" error="Choisissez dans la liste : Favorable, Neutre, Défavorable." type="list">
      <formula1>"Favorable,Neutre,Défavorable"</formula1>
    </dataValidation>
    <dataValidation sqref="G2:G401" showDropDown="0" showInputMessage="0" showErrorMessage="0" allowBlank="1" errorTitle="Réponse nécessaire" error="Choisissez dans la liste : Oui, Non." type="list">
      <formula1>"Oui,Non"</formula1>
    </dataValidation>
    <dataValidation sqref="H2:H401" showDropDown="0" showInputMessage="0" showErrorMessage="0" allowBlank="1" errorTitle="Réponse faite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4" t="inlineStr">
        <is>
          <t>Vos retombées en un coup d'œil</t>
        </is>
      </c>
    </row>
    <row r="3">
      <c r="A3" s="3" t="inlineStr">
        <is>
          <t>Retombées relevées</t>
        </is>
      </c>
      <c r="B3" s="5">
        <f>COUNT(Retombées!$A$2:$A$401)</f>
        <v/>
      </c>
    </row>
    <row r="4">
      <c r="A4" s="3" t="inlineStr">
        <is>
          <t>Retombées favorables</t>
        </is>
      </c>
      <c r="B4" s="5">
        <f>COUNTIF(Retombées!$F$2:$F$401,"Favorable")</f>
        <v/>
      </c>
    </row>
    <row r="5">
      <c r="A5" s="3" t="inlineStr">
        <is>
          <t>Retombées neutres</t>
        </is>
      </c>
      <c r="B5" s="5">
        <f>COUNTIF(Retombées!$F$2:$F$401,"Neutre")</f>
        <v/>
      </c>
    </row>
    <row r="6">
      <c r="A6" s="3" t="inlineStr">
        <is>
          <t>Retombées défavorables</t>
        </is>
      </c>
      <c r="B6" s="5">
        <f>COUNTIF(Retombées!$F$2:$F$401,"Défavorable")</f>
        <v/>
      </c>
    </row>
    <row r="7">
      <c r="A7" s="3" t="inlineStr">
        <is>
          <t>Retombées qui attendent une réponse</t>
        </is>
      </c>
      <c r="B7" s="5">
        <f>COUNTIFS(Retombées!$G$2:$G$401,"Oui",Retombées!$H$2:$H$401,"&lt;&gt;Oui")</f>
        <v/>
      </c>
    </row>
    <row r="8">
      <c r="A8" s="3" t="inlineStr">
        <is>
          <t>Retombées de type : Radio</t>
        </is>
      </c>
      <c r="B8" s="5">
        <f>COUNTIF(Retombées!$C$2:$C$401,"Radio")</f>
        <v/>
      </c>
    </row>
    <row r="9">
      <c r="A9" s="3" t="inlineStr">
        <is>
          <t>Retombées de type : Télévision</t>
        </is>
      </c>
      <c r="B9" s="5">
        <f>COUNTIF(Retombées!$C$2:$C$401,"Télévision")</f>
        <v/>
      </c>
    </row>
    <row r="10">
      <c r="A10" s="3" t="inlineStr">
        <is>
          <t>Retombées de type : Presse écrite</t>
        </is>
      </c>
      <c r="B10" s="5">
        <f>COUNTIF(Retombées!$C$2:$C$401,"Presse écrite")</f>
        <v/>
      </c>
    </row>
    <row r="11">
      <c r="A11" s="3" t="inlineStr">
        <is>
          <t>Retombées de type : Média en ligne</t>
        </is>
      </c>
      <c r="B11" s="5">
        <f>COUNTIF(Retombées!$C$2:$C$401,"Média en ligne")</f>
        <v/>
      </c>
    </row>
    <row r="12">
      <c r="A12" s="3" t="inlineStr">
        <is>
          <t>Retombées de type : Réseaux sociaux</t>
        </is>
      </c>
      <c r="B12" s="5">
        <f>COUNTIF(Retombées!$C$2:$C$401,"Réseaux sociaux")</f>
        <v/>
      </c>
    </row>
    <row r="13">
      <c r="A13" s="3" t="inlineStr">
        <is>
          <t>Retombées de type : Autre</t>
        </is>
      </c>
      <c r="B13" s="5">
        <f>COUNTIF(Retombées!$C$2:$C$401,"Autre")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22" customWidth="1" min="4" max="4"/>
    <col width="38" customWidth="1" min="5" max="5"/>
    <col width="11" customWidth="1" min="6" max="6"/>
    <col width="10" customWidth="1" min="7" max="7"/>
    <col width="9" customWidth="1" min="8" max="8"/>
    <col width="22" customWidth="1" min="9" max="9"/>
  </cols>
  <sheetData>
    <row r="1" ht="16" customHeight="1">
      <c r="A1" s="4" t="inlineStr">
        <is>
          <t>Suivi des retombées : mode d'emploi</t>
        </is>
      </c>
    </row>
    <row r="2" ht="16" customHeight="1"/>
    <row r="3" ht="16" customHeight="1">
      <c r="A3" s="6" t="inlineStr">
        <is>
          <t>COMMENT REMPLIR :</t>
        </is>
      </c>
    </row>
    <row r="4" ht="16" customHeight="1">
      <c r="A4" s="7" t="inlineStr">
        <is>
          <t>1. Une ligne par retombée : un passage à la radio, un article, une publication, un commentaire qui revient souvent.</t>
        </is>
      </c>
    </row>
    <row r="5" ht="16" customHeight="1">
      <c r="A5" s="7" t="inlineStr">
        <is>
          <t>2. Date sous la forme 05/10/2026. Support : le nom de la radio, du journal ou de la page. Choisissez le type dans la liste.</t>
        </is>
      </c>
    </row>
    <row r="6" ht="16" customHeight="1">
      <c r="A6" s="7" t="inlineStr">
        <is>
          <t>3. Résumé : ce qui a été dit, en une ligne, sans le nom de la personne qui a commenté.</t>
        </is>
      </c>
    </row>
    <row r="7" ht="16" customHeight="1">
      <c r="A7" s="7" t="inlineStr">
        <is>
          <t>4. Ton : favorable, neutre ou défavorable. C'est votre lecture : restez honnête, un reproche se note comme un reproche.</t>
        </is>
      </c>
    </row>
    <row r="8" ht="16" customHeight="1">
      <c r="A8" s="7" t="inlineStr">
        <is>
          <t>5. Réponse nécessaire : « Oui » quand il faut répondre. La case « Réponse faite » reste orange jusqu'à ce que vous mettiez « Oui ».</t>
        </is>
      </c>
    </row>
    <row r="9" ht="16" customHeight="1">
      <c r="A9" s="7" t="inlineStr"/>
    </row>
    <row r="10" ht="16" customHeight="1">
      <c r="A10" s="6" t="inlineStr">
        <is>
          <t>L'ONGLET RÉSUMÉ :</t>
        </is>
      </c>
    </row>
    <row r="11" ht="16" customHeight="1">
      <c r="A11" s="7" t="inlineStr">
        <is>
          <t>Il compte seul les retombées par ton et par type, et celles qui attendent une réponse.</t>
        </is>
      </c>
    </row>
    <row r="12" ht="16" customHeight="1">
      <c r="A12" s="7" t="inlineStr"/>
    </row>
    <row r="13" ht="16" customHeight="1">
      <c r="A13" s="6" t="inlineStr">
        <is>
          <t>À SAVOIR :</t>
        </is>
      </c>
    </row>
    <row r="14" ht="32" customHeight="1">
      <c r="A14" s="7" t="inlineStr">
        <is>
          <t>Ce tableau ne mesure pas l'audience d'un média : il compte ce que vous avez relevé vous-même. Une réponse publique part après l'accord de la personne qui valide.</t>
        </is>
      </c>
    </row>
    <row r="15" ht="16" customHeight="1">
      <c r="A15" s="7" t="inlineStr"/>
    </row>
    <row r="16" ht="16" customHeight="1">
      <c r="A16" s="6" t="inlineStr">
        <is>
          <t>EXEMPLE (ne modifiez pas cet exemple, il sert seulement de modèle) :</t>
        </is>
      </c>
    </row>
    <row r="17" ht="46" customHeight="1">
      <c r="A17" s="1" t="inlineStr">
        <is>
          <t>Date</t>
        </is>
      </c>
      <c r="B17" s="1" t="inlineStr">
        <is>
          <t>Support</t>
        </is>
      </c>
      <c r="C17" s="1" t="inlineStr">
        <is>
          <t>Type</t>
        </is>
      </c>
      <c r="D17" s="1" t="inlineStr">
        <is>
          <t>Action concernée</t>
        </is>
      </c>
      <c r="E17" s="1" t="inlineStr">
        <is>
          <t>Le résumé, en une ligne</t>
        </is>
      </c>
      <c r="F17" s="1" t="inlineStr">
        <is>
          <t>Ton</t>
        </is>
      </c>
      <c r="G17" s="1" t="inlineStr">
        <is>
          <t>Réponse nécessaire</t>
        </is>
      </c>
      <c r="H17" s="1" t="inlineStr">
        <is>
          <t>Réponse faite</t>
        </is>
      </c>
      <c r="I17" s="1" t="inlineStr">
        <is>
          <t>Lien ou référence</t>
        </is>
      </c>
    </row>
    <row r="18" ht="34" customHeight="1">
      <c r="A18" s="2" t="n">
        <v>46301</v>
      </c>
      <c r="B18" s="3" t="inlineStr">
        <is>
          <t>Radio du quartier</t>
        </is>
      </c>
      <c r="C18" s="3" t="inlineStr">
        <is>
          <t>Radio</t>
        </is>
      </c>
      <c r="D18" s="3" t="inlineStr">
        <is>
          <t>Journée portes ouvertes</t>
        </is>
      </c>
      <c r="E18" s="3" t="inlineStr">
        <is>
          <t>L'animatrice a annoncé la date et le lieu dans l'émission du matin</t>
        </is>
      </c>
      <c r="F18" s="3" t="inlineStr">
        <is>
          <t>Favorable</t>
        </is>
      </c>
      <c r="G18" s="3" t="inlineStr">
        <is>
          <t>Non</t>
        </is>
      </c>
      <c r="H18" s="3" t="inlineStr"/>
      <c r="I18" s="3" t="inlineStr"/>
    </row>
    <row r="19" ht="34" customHeight="1">
      <c r="A19" s="2" t="n">
        <v>46302</v>
      </c>
      <c r="B19" s="3" t="inlineStr">
        <is>
          <t>Page Facebook</t>
        </is>
      </c>
      <c r="C19" s="3" t="inlineStr">
        <is>
          <t>Réseaux sociaux</t>
        </is>
      </c>
      <c r="D19" s="3" t="inlineStr">
        <is>
          <t>Journée portes ouvertes</t>
        </is>
      </c>
      <c r="E19" s="3" t="inlineStr">
        <is>
          <t>Plusieurs commentaires demandent si l'entrée est payante</t>
        </is>
      </c>
      <c r="F19" s="3" t="inlineStr">
        <is>
          <t>Neutre</t>
        </is>
      </c>
      <c r="G19" s="3" t="inlineStr">
        <is>
          <t>Oui</t>
        </is>
      </c>
      <c r="H19" s="3" t="inlineStr">
        <is>
          <t>Non</t>
        </is>
      </c>
      <c r="I19" s="3" t="inlineStr"/>
    </row>
    <row r="21" ht="32" customHeight="1">
      <c r="A21" s="7" t="inlineStr">
        <is>
          <t>Dans cet exemple : le passage à la radio est favorable et ne demande pas de réponse. Les commentaires posent une question : une réponse est attendue, la case reste orange.</t>
        </is>
      </c>
    </row>
    <row r="23">
      <c r="A23" s="8" t="inlineStr">
        <is>
          <t>Document du kit « Communication » d'AI WORK KIT.</t>
        </is>
      </c>
    </row>
  </sheetData>
  <mergeCells count="18">
    <mergeCell ref="A15:I15"/>
    <mergeCell ref="A7:I7"/>
    <mergeCell ref="A2:I2"/>
    <mergeCell ref="A11:I11"/>
    <mergeCell ref="A10:I10"/>
    <mergeCell ref="A5:I5"/>
    <mergeCell ref="A13:I13"/>
    <mergeCell ref="A14:I14"/>
    <mergeCell ref="A1:I1"/>
    <mergeCell ref="A23:I23"/>
    <mergeCell ref="A9:I9"/>
    <mergeCell ref="A8:I8"/>
    <mergeCell ref="A3:I3"/>
    <mergeCell ref="A6:I6"/>
    <mergeCell ref="A12:I12"/>
    <mergeCell ref="A4:I4"/>
    <mergeCell ref="A21:I21"/>
    <mergeCell ref="A16:I1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2026-10-04T14:45:46Z</dcterms:created>
  <dcterms:modified xmlns:dcterms="http://purl.org/dc/terms/" xmlns:xsi="http://www.w3.org/2001/XMLSchema-instance" xsi:type="dcterms:W3CDTF">2026-10-04T14:45:46Z</dcterms:modified>
</cp:coreProperties>
</file>