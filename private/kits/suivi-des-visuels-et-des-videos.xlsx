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s" sheetId="1" state="visible" r:id="rId1"/>
    <sheet xmlns:r="http://schemas.openxmlformats.org/officeDocument/2006/relationships" name="Résumé" sheetId="2" state="visible" r:id="rId2"/>
    <sheet xmlns:r="http://schemas.openxmlformats.org/officeDocument/2006/relationships" name="Mode d'emplo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0B6B5E"/>
      <sz val="14"/>
    </font>
    <font>
      <name val="Arial"/>
      <b val="1"/>
      <sz val="11"/>
    </font>
    <font>
      <name val="Arial"/>
      <i val="1"/>
      <color rgb="00555555"/>
      <sz val="11"/>
    </font>
  </fonts>
  <fills count="4">
    <fill>
      <patternFill/>
    </fill>
    <fill>
      <patternFill patternType="gray125"/>
    </fill>
    <fill>
      <patternFill patternType="solid">
        <fgColor rgb="000B6B5E"/>
        <bgColor rgb="000B6B5E"/>
      </patternFill>
    </fill>
    <fill>
      <patternFill patternType="solid">
        <fgColor rgb="00ECEFEE"/>
        <bgColor rgb="00ECEFEE"/>
      </patternFill>
    </fill>
  </fills>
  <borders count="2">
    <border>
      <left/>
      <right/>
      <top/>
      <bottom/>
      <diagonal/>
    </border>
    <border>
      <left style="thin">
        <color rgb="00C9CFCD"/>
      </left>
      <right style="thin">
        <color rgb="00C9CFCD"/>
      </right>
      <top style="thin">
        <color rgb="00C9CFCD"/>
      </top>
      <bottom style="thin">
        <color rgb="00C9CFC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1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1" fontId="2" fillId="3" borderId="1" applyAlignment="1" pivotButton="0" quotePrefix="0" xfId="0">
      <alignment vertical="center"/>
    </xf>
    <xf numFmtId="0" fontId="3" fillId="0" borderId="0" pivotButton="0" quotePrefix="0" xfId="0"/>
    <xf numFmtId="1" fontId="4" fillId="3" borderId="1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8D0CB"/>
          <bgColor rgb="00F8D0CB"/>
        </patternFill>
      </fill>
    </dxf>
    <dxf>
      <fill>
        <patternFill patternType="solid">
          <fgColor rgb="00D5EDE4"/>
          <bgColor rgb="00D5EDE4"/>
        </patternFill>
      </fill>
    </dxf>
    <dxf>
      <fill>
        <patternFill patternType="solid">
          <fgColor rgb="00FBE3C4"/>
          <bgColor rgb="00FBE3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22" customWidth="1" min="3" max="3"/>
    <col width="11" customWidth="1" min="4" max="4"/>
    <col width="34" customWidth="1" min="5" max="5"/>
    <col width="14" customWidth="1" min="6" max="6"/>
    <col width="8" customWidth="1" min="7" max="7"/>
    <col width="11" customWidth="1" min="8" max="8"/>
    <col width="12" customWidth="1" min="9" max="9"/>
    <col width="9" customWidth="1" min="10" max="10"/>
    <col width="28" customWidth="1" min="11" max="11"/>
  </cols>
  <sheetData>
    <row r="1" ht="46" customHeight="1">
      <c r="A1" s="1" t="inlineStr">
        <is>
          <t>N°</t>
        </is>
      </c>
      <c r="B1" s="1" t="inlineStr">
        <is>
          <t>Type</t>
        </is>
      </c>
      <c r="C1" s="1" t="inlineStr">
        <is>
          <t>Pour quelle publication ou quel client</t>
        </is>
      </c>
      <c r="D1" s="1" t="inlineStr">
        <is>
          <t>Format</t>
        </is>
      </c>
      <c r="E1" s="1" t="inlineStr">
        <is>
          <t>Le brief, en une ligne</t>
        </is>
      </c>
      <c r="F1" s="1" t="inlineStr">
        <is>
          <t>Outil</t>
        </is>
      </c>
      <c r="G1" s="1" t="inlineStr">
        <is>
          <t>Version</t>
        </is>
      </c>
      <c r="H1" s="1" t="inlineStr">
        <is>
          <t>État</t>
        </is>
      </c>
      <c r="I1" s="1" t="inlineStr">
        <is>
          <t>Échéance</t>
        </is>
      </c>
      <c r="J1" s="1" t="inlineStr">
        <is>
          <t>Jours restants</t>
        </is>
      </c>
      <c r="K1" s="1" t="inlineStr">
        <is>
          <t>Remarque</t>
        </is>
      </c>
    </row>
    <row r="2">
      <c r="A2" s="2" t="n"/>
      <c r="B2" s="2" t="n"/>
      <c r="C2" s="2" t="n"/>
      <c r="D2" s="2" t="n"/>
      <c r="E2" s="2" t="n"/>
      <c r="F2" s="2" t="n"/>
      <c r="G2" s="3" t="n"/>
      <c r="H2" s="2" t="n"/>
      <c r="I2" s="4" t="n"/>
      <c r="J2" s="5">
        <f>IF(OR($I2="",$H2="Terminé"),"",$I2-TODAY())</f>
        <v/>
      </c>
      <c r="K2" s="2" t="n"/>
    </row>
    <row r="3">
      <c r="A3" s="2" t="n"/>
      <c r="B3" s="2" t="n"/>
      <c r="C3" s="2" t="n"/>
      <c r="D3" s="2" t="n"/>
      <c r="E3" s="2" t="n"/>
      <c r="F3" s="2" t="n"/>
      <c r="G3" s="3" t="n"/>
      <c r="H3" s="2" t="n"/>
      <c r="I3" s="4" t="n"/>
      <c r="J3" s="5">
        <f>IF(OR($I3="",$H3="Terminé"),"",$I3-TODAY())</f>
        <v/>
      </c>
      <c r="K3" s="2" t="n"/>
    </row>
    <row r="4">
      <c r="A4" s="2" t="n"/>
      <c r="B4" s="2" t="n"/>
      <c r="C4" s="2" t="n"/>
      <c r="D4" s="2" t="n"/>
      <c r="E4" s="2" t="n"/>
      <c r="F4" s="2" t="n"/>
      <c r="G4" s="3" t="n"/>
      <c r="H4" s="2" t="n"/>
      <c r="I4" s="4" t="n"/>
      <c r="J4" s="5">
        <f>IF(OR($I4="",$H4="Terminé"),"",$I4-TODAY())</f>
        <v/>
      </c>
      <c r="K4" s="2" t="n"/>
    </row>
    <row r="5">
      <c r="A5" s="2" t="n"/>
      <c r="B5" s="2" t="n"/>
      <c r="C5" s="2" t="n"/>
      <c r="D5" s="2" t="n"/>
      <c r="E5" s="2" t="n"/>
      <c r="F5" s="2" t="n"/>
      <c r="G5" s="3" t="n"/>
      <c r="H5" s="2" t="n"/>
      <c r="I5" s="4" t="n"/>
      <c r="J5" s="5">
        <f>IF(OR($I5="",$H5="Terminé"),"",$I5-TODAY())</f>
        <v/>
      </c>
      <c r="K5" s="2" t="n"/>
    </row>
    <row r="6">
      <c r="A6" s="2" t="n"/>
      <c r="B6" s="2" t="n"/>
      <c r="C6" s="2" t="n"/>
      <c r="D6" s="2" t="n"/>
      <c r="E6" s="2" t="n"/>
      <c r="F6" s="2" t="n"/>
      <c r="G6" s="3" t="n"/>
      <c r="H6" s="2" t="n"/>
      <c r="I6" s="4" t="n"/>
      <c r="J6" s="5">
        <f>IF(OR($I6="",$H6="Terminé"),"",$I6-TODAY())</f>
        <v/>
      </c>
      <c r="K6" s="2" t="n"/>
    </row>
    <row r="7">
      <c r="A7" s="2" t="n"/>
      <c r="B7" s="2" t="n"/>
      <c r="C7" s="2" t="n"/>
      <c r="D7" s="2" t="n"/>
      <c r="E7" s="2" t="n"/>
      <c r="F7" s="2" t="n"/>
      <c r="G7" s="3" t="n"/>
      <c r="H7" s="2" t="n"/>
      <c r="I7" s="4" t="n"/>
      <c r="J7" s="5">
        <f>IF(OR($I7="",$H7="Terminé"),"",$I7-TODAY())</f>
        <v/>
      </c>
      <c r="K7" s="2" t="n"/>
    </row>
    <row r="8">
      <c r="A8" s="2" t="n"/>
      <c r="B8" s="2" t="n"/>
      <c r="C8" s="2" t="n"/>
      <c r="D8" s="2" t="n"/>
      <c r="E8" s="2" t="n"/>
      <c r="F8" s="2" t="n"/>
      <c r="G8" s="3" t="n"/>
      <c r="H8" s="2" t="n"/>
      <c r="I8" s="4" t="n"/>
      <c r="J8" s="5">
        <f>IF(OR($I8="",$H8="Terminé"),"",$I8-TODAY())</f>
        <v/>
      </c>
      <c r="K8" s="2" t="n"/>
    </row>
    <row r="9">
      <c r="A9" s="2" t="n"/>
      <c r="B9" s="2" t="n"/>
      <c r="C9" s="2" t="n"/>
      <c r="D9" s="2" t="n"/>
      <c r="E9" s="2" t="n"/>
      <c r="F9" s="2" t="n"/>
      <c r="G9" s="3" t="n"/>
      <c r="H9" s="2" t="n"/>
      <c r="I9" s="4" t="n"/>
      <c r="J9" s="5">
        <f>IF(OR($I9="",$H9="Terminé"),"",$I9-TODAY())</f>
        <v/>
      </c>
      <c r="K9" s="2" t="n"/>
    </row>
    <row r="10">
      <c r="A10" s="2" t="n"/>
      <c r="B10" s="2" t="n"/>
      <c r="C10" s="2" t="n"/>
      <c r="D10" s="2" t="n"/>
      <c r="E10" s="2" t="n"/>
      <c r="F10" s="2" t="n"/>
      <c r="G10" s="3" t="n"/>
      <c r="H10" s="2" t="n"/>
      <c r="I10" s="4" t="n"/>
      <c r="J10" s="5">
        <f>IF(OR($I10="",$H10="Terminé"),"",$I10-TODAY())</f>
        <v/>
      </c>
      <c r="K10" s="2" t="n"/>
    </row>
    <row r="11">
      <c r="A11" s="2" t="n"/>
      <c r="B11" s="2" t="n"/>
      <c r="C11" s="2" t="n"/>
      <c r="D11" s="2" t="n"/>
      <c r="E11" s="2" t="n"/>
      <c r="F11" s="2" t="n"/>
      <c r="G11" s="3" t="n"/>
      <c r="H11" s="2" t="n"/>
      <c r="I11" s="4" t="n"/>
      <c r="J11" s="5">
        <f>IF(OR($I11="",$H11="Terminé"),"",$I11-TODAY())</f>
        <v/>
      </c>
      <c r="K11" s="2" t="n"/>
    </row>
    <row r="12">
      <c r="A12" s="2" t="n"/>
      <c r="B12" s="2" t="n"/>
      <c r="C12" s="2" t="n"/>
      <c r="D12" s="2" t="n"/>
      <c r="E12" s="2" t="n"/>
      <c r="F12" s="2" t="n"/>
      <c r="G12" s="3" t="n"/>
      <c r="H12" s="2" t="n"/>
      <c r="I12" s="4" t="n"/>
      <c r="J12" s="5">
        <f>IF(OR($I12="",$H12="Terminé"),"",$I12-TODAY())</f>
        <v/>
      </c>
      <c r="K12" s="2" t="n"/>
    </row>
    <row r="13">
      <c r="A13" s="2" t="n"/>
      <c r="B13" s="2" t="n"/>
      <c r="C13" s="2" t="n"/>
      <c r="D13" s="2" t="n"/>
      <c r="E13" s="2" t="n"/>
      <c r="F13" s="2" t="n"/>
      <c r="G13" s="3" t="n"/>
      <c r="H13" s="2" t="n"/>
      <c r="I13" s="4" t="n"/>
      <c r="J13" s="5">
        <f>IF(OR($I13="",$H13="Terminé"),"",$I13-TODAY())</f>
        <v/>
      </c>
      <c r="K13" s="2" t="n"/>
    </row>
    <row r="14">
      <c r="A14" s="2" t="n"/>
      <c r="B14" s="2" t="n"/>
      <c r="C14" s="2" t="n"/>
      <c r="D14" s="2" t="n"/>
      <c r="E14" s="2" t="n"/>
      <c r="F14" s="2" t="n"/>
      <c r="G14" s="3" t="n"/>
      <c r="H14" s="2" t="n"/>
      <c r="I14" s="4" t="n"/>
      <c r="J14" s="5">
        <f>IF(OR($I14="",$H14="Terminé"),"",$I14-TODAY())</f>
        <v/>
      </c>
      <c r="K14" s="2" t="n"/>
    </row>
    <row r="15">
      <c r="A15" s="2" t="n"/>
      <c r="B15" s="2" t="n"/>
      <c r="C15" s="2" t="n"/>
      <c r="D15" s="2" t="n"/>
      <c r="E15" s="2" t="n"/>
      <c r="F15" s="2" t="n"/>
      <c r="G15" s="3" t="n"/>
      <c r="H15" s="2" t="n"/>
      <c r="I15" s="4" t="n"/>
      <c r="J15" s="5">
        <f>IF(OR($I15="",$H15="Terminé"),"",$I15-TODAY())</f>
        <v/>
      </c>
      <c r="K15" s="2" t="n"/>
    </row>
    <row r="16">
      <c r="A16" s="2" t="n"/>
      <c r="B16" s="2" t="n"/>
      <c r="C16" s="2" t="n"/>
      <c r="D16" s="2" t="n"/>
      <c r="E16" s="2" t="n"/>
      <c r="F16" s="2" t="n"/>
      <c r="G16" s="3" t="n"/>
      <c r="H16" s="2" t="n"/>
      <c r="I16" s="4" t="n"/>
      <c r="J16" s="5">
        <f>IF(OR($I16="",$H16="Terminé"),"",$I16-TODAY())</f>
        <v/>
      </c>
      <c r="K16" s="2" t="n"/>
    </row>
    <row r="17">
      <c r="A17" s="2" t="n"/>
      <c r="B17" s="2" t="n"/>
      <c r="C17" s="2" t="n"/>
      <c r="D17" s="2" t="n"/>
      <c r="E17" s="2" t="n"/>
      <c r="F17" s="2" t="n"/>
      <c r="G17" s="3" t="n"/>
      <c r="H17" s="2" t="n"/>
      <c r="I17" s="4" t="n"/>
      <c r="J17" s="5">
        <f>IF(OR($I17="",$H17="Terminé"),"",$I17-TODAY())</f>
        <v/>
      </c>
      <c r="K17" s="2" t="n"/>
    </row>
    <row r="18">
      <c r="A18" s="2" t="n"/>
      <c r="B18" s="2" t="n"/>
      <c r="C18" s="2" t="n"/>
      <c r="D18" s="2" t="n"/>
      <c r="E18" s="2" t="n"/>
      <c r="F18" s="2" t="n"/>
      <c r="G18" s="3" t="n"/>
      <c r="H18" s="2" t="n"/>
      <c r="I18" s="4" t="n"/>
      <c r="J18" s="5">
        <f>IF(OR($I18="",$H18="Terminé"),"",$I18-TODAY())</f>
        <v/>
      </c>
      <c r="K18" s="2" t="n"/>
    </row>
    <row r="19">
      <c r="A19" s="2" t="n"/>
      <c r="B19" s="2" t="n"/>
      <c r="C19" s="2" t="n"/>
      <c r="D19" s="2" t="n"/>
      <c r="E19" s="2" t="n"/>
      <c r="F19" s="2" t="n"/>
      <c r="G19" s="3" t="n"/>
      <c r="H19" s="2" t="n"/>
      <c r="I19" s="4" t="n"/>
      <c r="J19" s="5">
        <f>IF(OR($I19="",$H19="Terminé"),"",$I19-TODAY())</f>
        <v/>
      </c>
      <c r="K19" s="2" t="n"/>
    </row>
    <row r="20">
      <c r="A20" s="2" t="n"/>
      <c r="B20" s="2" t="n"/>
      <c r="C20" s="2" t="n"/>
      <c r="D20" s="2" t="n"/>
      <c r="E20" s="2" t="n"/>
      <c r="F20" s="2" t="n"/>
      <c r="G20" s="3" t="n"/>
      <c r="H20" s="2" t="n"/>
      <c r="I20" s="4" t="n"/>
      <c r="J20" s="5">
        <f>IF(OR($I20="",$H20="Terminé"),"",$I20-TODAY())</f>
        <v/>
      </c>
      <c r="K20" s="2" t="n"/>
    </row>
    <row r="21">
      <c r="A21" s="2" t="n"/>
      <c r="B21" s="2" t="n"/>
      <c r="C21" s="2" t="n"/>
      <c r="D21" s="2" t="n"/>
      <c r="E21" s="2" t="n"/>
      <c r="F21" s="2" t="n"/>
      <c r="G21" s="3" t="n"/>
      <c r="H21" s="2" t="n"/>
      <c r="I21" s="4" t="n"/>
      <c r="J21" s="5">
        <f>IF(OR($I21="",$H21="Terminé"),"",$I21-TODAY())</f>
        <v/>
      </c>
      <c r="K21" s="2" t="n"/>
    </row>
    <row r="22">
      <c r="A22" s="2" t="n"/>
      <c r="B22" s="2" t="n"/>
      <c r="C22" s="2" t="n"/>
      <c r="D22" s="2" t="n"/>
      <c r="E22" s="2" t="n"/>
      <c r="F22" s="2" t="n"/>
      <c r="G22" s="3" t="n"/>
      <c r="H22" s="2" t="n"/>
      <c r="I22" s="4" t="n"/>
      <c r="J22" s="5">
        <f>IF(OR($I22="",$H22="Terminé"),"",$I22-TODAY())</f>
        <v/>
      </c>
      <c r="K22" s="2" t="n"/>
    </row>
    <row r="23">
      <c r="A23" s="2" t="n"/>
      <c r="B23" s="2" t="n"/>
      <c r="C23" s="2" t="n"/>
      <c r="D23" s="2" t="n"/>
      <c r="E23" s="2" t="n"/>
      <c r="F23" s="2" t="n"/>
      <c r="G23" s="3" t="n"/>
      <c r="H23" s="2" t="n"/>
      <c r="I23" s="4" t="n"/>
      <c r="J23" s="5">
        <f>IF(OR($I23="",$H23="Terminé"),"",$I23-TODAY())</f>
        <v/>
      </c>
      <c r="K23" s="2" t="n"/>
    </row>
    <row r="24">
      <c r="A24" s="2" t="n"/>
      <c r="B24" s="2" t="n"/>
      <c r="C24" s="2" t="n"/>
      <c r="D24" s="2" t="n"/>
      <c r="E24" s="2" t="n"/>
      <c r="F24" s="2" t="n"/>
      <c r="G24" s="3" t="n"/>
      <c r="H24" s="2" t="n"/>
      <c r="I24" s="4" t="n"/>
      <c r="J24" s="5">
        <f>IF(OR($I24="",$H24="Terminé"),"",$I24-TODAY())</f>
        <v/>
      </c>
      <c r="K24" s="2" t="n"/>
    </row>
    <row r="25">
      <c r="A25" s="2" t="n"/>
      <c r="B25" s="2" t="n"/>
      <c r="C25" s="2" t="n"/>
      <c r="D25" s="2" t="n"/>
      <c r="E25" s="2" t="n"/>
      <c r="F25" s="2" t="n"/>
      <c r="G25" s="3" t="n"/>
      <c r="H25" s="2" t="n"/>
      <c r="I25" s="4" t="n"/>
      <c r="J25" s="5">
        <f>IF(OR($I25="",$H25="Terminé"),"",$I25-TODAY())</f>
        <v/>
      </c>
      <c r="K25" s="2" t="n"/>
    </row>
    <row r="26">
      <c r="A26" s="2" t="n"/>
      <c r="B26" s="2" t="n"/>
      <c r="C26" s="2" t="n"/>
      <c r="D26" s="2" t="n"/>
      <c r="E26" s="2" t="n"/>
      <c r="F26" s="2" t="n"/>
      <c r="G26" s="3" t="n"/>
      <c r="H26" s="2" t="n"/>
      <c r="I26" s="4" t="n"/>
      <c r="J26" s="5">
        <f>IF(OR($I26="",$H26="Terminé"),"",$I26-TODAY())</f>
        <v/>
      </c>
      <c r="K26" s="2" t="n"/>
    </row>
    <row r="27">
      <c r="A27" s="2" t="n"/>
      <c r="B27" s="2" t="n"/>
      <c r="C27" s="2" t="n"/>
      <c r="D27" s="2" t="n"/>
      <c r="E27" s="2" t="n"/>
      <c r="F27" s="2" t="n"/>
      <c r="G27" s="3" t="n"/>
      <c r="H27" s="2" t="n"/>
      <c r="I27" s="4" t="n"/>
      <c r="J27" s="5">
        <f>IF(OR($I27="",$H27="Terminé"),"",$I27-TODAY())</f>
        <v/>
      </c>
      <c r="K27" s="2" t="n"/>
    </row>
    <row r="28">
      <c r="A28" s="2" t="n"/>
      <c r="B28" s="2" t="n"/>
      <c r="C28" s="2" t="n"/>
      <c r="D28" s="2" t="n"/>
      <c r="E28" s="2" t="n"/>
      <c r="F28" s="2" t="n"/>
      <c r="G28" s="3" t="n"/>
      <c r="H28" s="2" t="n"/>
      <c r="I28" s="4" t="n"/>
      <c r="J28" s="5">
        <f>IF(OR($I28="",$H28="Terminé"),"",$I28-TODAY())</f>
        <v/>
      </c>
      <c r="K28" s="2" t="n"/>
    </row>
    <row r="29">
      <c r="A29" s="2" t="n"/>
      <c r="B29" s="2" t="n"/>
      <c r="C29" s="2" t="n"/>
      <c r="D29" s="2" t="n"/>
      <c r="E29" s="2" t="n"/>
      <c r="F29" s="2" t="n"/>
      <c r="G29" s="3" t="n"/>
      <c r="H29" s="2" t="n"/>
      <c r="I29" s="4" t="n"/>
      <c r="J29" s="5">
        <f>IF(OR($I29="",$H29="Terminé"),"",$I29-TODAY())</f>
        <v/>
      </c>
      <c r="K29" s="2" t="n"/>
    </row>
    <row r="30">
      <c r="A30" s="2" t="n"/>
      <c r="B30" s="2" t="n"/>
      <c r="C30" s="2" t="n"/>
      <c r="D30" s="2" t="n"/>
      <c r="E30" s="2" t="n"/>
      <c r="F30" s="2" t="n"/>
      <c r="G30" s="3" t="n"/>
      <c r="H30" s="2" t="n"/>
      <c r="I30" s="4" t="n"/>
      <c r="J30" s="5">
        <f>IF(OR($I30="",$H30="Terminé"),"",$I30-TODAY())</f>
        <v/>
      </c>
      <c r="K30" s="2" t="n"/>
    </row>
    <row r="31">
      <c r="A31" s="2" t="n"/>
      <c r="B31" s="2" t="n"/>
      <c r="C31" s="2" t="n"/>
      <c r="D31" s="2" t="n"/>
      <c r="E31" s="2" t="n"/>
      <c r="F31" s="2" t="n"/>
      <c r="G31" s="3" t="n"/>
      <c r="H31" s="2" t="n"/>
      <c r="I31" s="4" t="n"/>
      <c r="J31" s="5">
        <f>IF(OR($I31="",$H31="Terminé"),"",$I31-TODAY())</f>
        <v/>
      </c>
      <c r="K31" s="2" t="n"/>
    </row>
    <row r="32">
      <c r="A32" s="2" t="n"/>
      <c r="B32" s="2" t="n"/>
      <c r="C32" s="2" t="n"/>
      <c r="D32" s="2" t="n"/>
      <c r="E32" s="2" t="n"/>
      <c r="F32" s="2" t="n"/>
      <c r="G32" s="3" t="n"/>
      <c r="H32" s="2" t="n"/>
      <c r="I32" s="4" t="n"/>
      <c r="J32" s="5">
        <f>IF(OR($I32="",$H32="Terminé"),"",$I32-TODAY())</f>
        <v/>
      </c>
      <c r="K32" s="2" t="n"/>
    </row>
    <row r="33">
      <c r="A33" s="2" t="n"/>
      <c r="B33" s="2" t="n"/>
      <c r="C33" s="2" t="n"/>
      <c r="D33" s="2" t="n"/>
      <c r="E33" s="2" t="n"/>
      <c r="F33" s="2" t="n"/>
      <c r="G33" s="3" t="n"/>
      <c r="H33" s="2" t="n"/>
      <c r="I33" s="4" t="n"/>
      <c r="J33" s="5">
        <f>IF(OR($I33="",$H33="Terminé"),"",$I33-TODAY())</f>
        <v/>
      </c>
      <c r="K33" s="2" t="n"/>
    </row>
    <row r="34">
      <c r="A34" s="2" t="n"/>
      <c r="B34" s="2" t="n"/>
      <c r="C34" s="2" t="n"/>
      <c r="D34" s="2" t="n"/>
      <c r="E34" s="2" t="n"/>
      <c r="F34" s="2" t="n"/>
      <c r="G34" s="3" t="n"/>
      <c r="H34" s="2" t="n"/>
      <c r="I34" s="4" t="n"/>
      <c r="J34" s="5">
        <f>IF(OR($I34="",$H34="Terminé"),"",$I34-TODAY())</f>
        <v/>
      </c>
      <c r="K34" s="2" t="n"/>
    </row>
    <row r="35">
      <c r="A35" s="2" t="n"/>
      <c r="B35" s="2" t="n"/>
      <c r="C35" s="2" t="n"/>
      <c r="D35" s="2" t="n"/>
      <c r="E35" s="2" t="n"/>
      <c r="F35" s="2" t="n"/>
      <c r="G35" s="3" t="n"/>
      <c r="H35" s="2" t="n"/>
      <c r="I35" s="4" t="n"/>
      <c r="J35" s="5">
        <f>IF(OR($I35="",$H35="Terminé"),"",$I35-TODAY())</f>
        <v/>
      </c>
      <c r="K35" s="2" t="n"/>
    </row>
    <row r="36">
      <c r="A36" s="2" t="n"/>
      <c r="B36" s="2" t="n"/>
      <c r="C36" s="2" t="n"/>
      <c r="D36" s="2" t="n"/>
      <c r="E36" s="2" t="n"/>
      <c r="F36" s="2" t="n"/>
      <c r="G36" s="3" t="n"/>
      <c r="H36" s="2" t="n"/>
      <c r="I36" s="4" t="n"/>
      <c r="J36" s="5">
        <f>IF(OR($I36="",$H36="Terminé"),"",$I36-TODAY())</f>
        <v/>
      </c>
      <c r="K36" s="2" t="n"/>
    </row>
    <row r="37">
      <c r="A37" s="2" t="n"/>
      <c r="B37" s="2" t="n"/>
      <c r="C37" s="2" t="n"/>
      <c r="D37" s="2" t="n"/>
      <c r="E37" s="2" t="n"/>
      <c r="F37" s="2" t="n"/>
      <c r="G37" s="3" t="n"/>
      <c r="H37" s="2" t="n"/>
      <c r="I37" s="4" t="n"/>
      <c r="J37" s="5">
        <f>IF(OR($I37="",$H37="Terminé"),"",$I37-TODAY())</f>
        <v/>
      </c>
      <c r="K37" s="2" t="n"/>
    </row>
    <row r="38">
      <c r="A38" s="2" t="n"/>
      <c r="B38" s="2" t="n"/>
      <c r="C38" s="2" t="n"/>
      <c r="D38" s="2" t="n"/>
      <c r="E38" s="2" t="n"/>
      <c r="F38" s="2" t="n"/>
      <c r="G38" s="3" t="n"/>
      <c r="H38" s="2" t="n"/>
      <c r="I38" s="4" t="n"/>
      <c r="J38" s="5">
        <f>IF(OR($I38="",$H38="Terminé"),"",$I38-TODAY())</f>
        <v/>
      </c>
      <c r="K38" s="2" t="n"/>
    </row>
    <row r="39">
      <c r="A39" s="2" t="n"/>
      <c r="B39" s="2" t="n"/>
      <c r="C39" s="2" t="n"/>
      <c r="D39" s="2" t="n"/>
      <c r="E39" s="2" t="n"/>
      <c r="F39" s="2" t="n"/>
      <c r="G39" s="3" t="n"/>
      <c r="H39" s="2" t="n"/>
      <c r="I39" s="4" t="n"/>
      <c r="J39" s="5">
        <f>IF(OR($I39="",$H39="Terminé"),"",$I39-TODAY())</f>
        <v/>
      </c>
      <c r="K39" s="2" t="n"/>
    </row>
    <row r="40">
      <c r="A40" s="2" t="n"/>
      <c r="B40" s="2" t="n"/>
      <c r="C40" s="2" t="n"/>
      <c r="D40" s="2" t="n"/>
      <c r="E40" s="2" t="n"/>
      <c r="F40" s="2" t="n"/>
      <c r="G40" s="3" t="n"/>
      <c r="H40" s="2" t="n"/>
      <c r="I40" s="4" t="n"/>
      <c r="J40" s="5">
        <f>IF(OR($I40="",$H40="Terminé"),"",$I40-TODAY())</f>
        <v/>
      </c>
      <c r="K40" s="2" t="n"/>
    </row>
    <row r="41">
      <c r="A41" s="2" t="n"/>
      <c r="B41" s="2" t="n"/>
      <c r="C41" s="2" t="n"/>
      <c r="D41" s="2" t="n"/>
      <c r="E41" s="2" t="n"/>
      <c r="F41" s="2" t="n"/>
      <c r="G41" s="3" t="n"/>
      <c r="H41" s="2" t="n"/>
      <c r="I41" s="4" t="n"/>
      <c r="J41" s="5">
        <f>IF(OR($I41="",$H41="Terminé"),"",$I41-TODAY())</f>
        <v/>
      </c>
      <c r="K41" s="2" t="n"/>
    </row>
    <row r="42">
      <c r="A42" s="2" t="n"/>
      <c r="B42" s="2" t="n"/>
      <c r="C42" s="2" t="n"/>
      <c r="D42" s="2" t="n"/>
      <c r="E42" s="2" t="n"/>
      <c r="F42" s="2" t="n"/>
      <c r="G42" s="3" t="n"/>
      <c r="H42" s="2" t="n"/>
      <c r="I42" s="4" t="n"/>
      <c r="J42" s="5">
        <f>IF(OR($I42="",$H42="Terminé"),"",$I42-TODAY())</f>
        <v/>
      </c>
      <c r="K42" s="2" t="n"/>
    </row>
    <row r="43">
      <c r="A43" s="2" t="n"/>
      <c r="B43" s="2" t="n"/>
      <c r="C43" s="2" t="n"/>
      <c r="D43" s="2" t="n"/>
      <c r="E43" s="2" t="n"/>
      <c r="F43" s="2" t="n"/>
      <c r="G43" s="3" t="n"/>
      <c r="H43" s="2" t="n"/>
      <c r="I43" s="4" t="n"/>
      <c r="J43" s="5">
        <f>IF(OR($I43="",$H43="Terminé"),"",$I43-TODAY())</f>
        <v/>
      </c>
      <c r="K43" s="2" t="n"/>
    </row>
    <row r="44">
      <c r="A44" s="2" t="n"/>
      <c r="B44" s="2" t="n"/>
      <c r="C44" s="2" t="n"/>
      <c r="D44" s="2" t="n"/>
      <c r="E44" s="2" t="n"/>
      <c r="F44" s="2" t="n"/>
      <c r="G44" s="3" t="n"/>
      <c r="H44" s="2" t="n"/>
      <c r="I44" s="4" t="n"/>
      <c r="J44" s="5">
        <f>IF(OR($I44="",$H44="Terminé"),"",$I44-TODAY())</f>
        <v/>
      </c>
      <c r="K44" s="2" t="n"/>
    </row>
    <row r="45">
      <c r="A45" s="2" t="n"/>
      <c r="B45" s="2" t="n"/>
      <c r="C45" s="2" t="n"/>
      <c r="D45" s="2" t="n"/>
      <c r="E45" s="2" t="n"/>
      <c r="F45" s="2" t="n"/>
      <c r="G45" s="3" t="n"/>
      <c r="H45" s="2" t="n"/>
      <c r="I45" s="4" t="n"/>
      <c r="J45" s="5">
        <f>IF(OR($I45="",$H45="Terminé"),"",$I45-TODAY())</f>
        <v/>
      </c>
      <c r="K45" s="2" t="n"/>
    </row>
    <row r="46">
      <c r="A46" s="2" t="n"/>
      <c r="B46" s="2" t="n"/>
      <c r="C46" s="2" t="n"/>
      <c r="D46" s="2" t="n"/>
      <c r="E46" s="2" t="n"/>
      <c r="F46" s="2" t="n"/>
      <c r="G46" s="3" t="n"/>
      <c r="H46" s="2" t="n"/>
      <c r="I46" s="4" t="n"/>
      <c r="J46" s="5">
        <f>IF(OR($I46="",$H46="Terminé"),"",$I46-TODAY())</f>
        <v/>
      </c>
      <c r="K46" s="2" t="n"/>
    </row>
    <row r="47">
      <c r="A47" s="2" t="n"/>
      <c r="B47" s="2" t="n"/>
      <c r="C47" s="2" t="n"/>
      <c r="D47" s="2" t="n"/>
      <c r="E47" s="2" t="n"/>
      <c r="F47" s="2" t="n"/>
      <c r="G47" s="3" t="n"/>
      <c r="H47" s="2" t="n"/>
      <c r="I47" s="4" t="n"/>
      <c r="J47" s="5">
        <f>IF(OR($I47="",$H47="Terminé"),"",$I47-TODAY())</f>
        <v/>
      </c>
      <c r="K47" s="2" t="n"/>
    </row>
    <row r="48">
      <c r="A48" s="2" t="n"/>
      <c r="B48" s="2" t="n"/>
      <c r="C48" s="2" t="n"/>
      <c r="D48" s="2" t="n"/>
      <c r="E48" s="2" t="n"/>
      <c r="F48" s="2" t="n"/>
      <c r="G48" s="3" t="n"/>
      <c r="H48" s="2" t="n"/>
      <c r="I48" s="4" t="n"/>
      <c r="J48" s="5">
        <f>IF(OR($I48="",$H48="Terminé"),"",$I48-TODAY())</f>
        <v/>
      </c>
      <c r="K48" s="2" t="n"/>
    </row>
    <row r="49">
      <c r="A49" s="2" t="n"/>
      <c r="B49" s="2" t="n"/>
      <c r="C49" s="2" t="n"/>
      <c r="D49" s="2" t="n"/>
      <c r="E49" s="2" t="n"/>
      <c r="F49" s="2" t="n"/>
      <c r="G49" s="3" t="n"/>
      <c r="H49" s="2" t="n"/>
      <c r="I49" s="4" t="n"/>
      <c r="J49" s="5">
        <f>IF(OR($I49="",$H49="Terminé"),"",$I49-TODAY())</f>
        <v/>
      </c>
      <c r="K49" s="2" t="n"/>
    </row>
    <row r="50">
      <c r="A50" s="2" t="n"/>
      <c r="B50" s="2" t="n"/>
      <c r="C50" s="2" t="n"/>
      <c r="D50" s="2" t="n"/>
      <c r="E50" s="2" t="n"/>
      <c r="F50" s="2" t="n"/>
      <c r="G50" s="3" t="n"/>
      <c r="H50" s="2" t="n"/>
      <c r="I50" s="4" t="n"/>
      <c r="J50" s="5">
        <f>IF(OR($I50="",$H50="Terminé"),"",$I50-TODAY())</f>
        <v/>
      </c>
      <c r="K50" s="2" t="n"/>
    </row>
    <row r="51">
      <c r="A51" s="2" t="n"/>
      <c r="B51" s="2" t="n"/>
      <c r="C51" s="2" t="n"/>
      <c r="D51" s="2" t="n"/>
      <c r="E51" s="2" t="n"/>
      <c r="F51" s="2" t="n"/>
      <c r="G51" s="3" t="n"/>
      <c r="H51" s="2" t="n"/>
      <c r="I51" s="4" t="n"/>
      <c r="J51" s="5">
        <f>IF(OR($I51="",$H51="Terminé"),"",$I51-TODAY())</f>
        <v/>
      </c>
      <c r="K51" s="2" t="n"/>
    </row>
    <row r="52">
      <c r="A52" s="2" t="n"/>
      <c r="B52" s="2" t="n"/>
      <c r="C52" s="2" t="n"/>
      <c r="D52" s="2" t="n"/>
      <c r="E52" s="2" t="n"/>
      <c r="F52" s="2" t="n"/>
      <c r="G52" s="3" t="n"/>
      <c r="H52" s="2" t="n"/>
      <c r="I52" s="4" t="n"/>
      <c r="J52" s="5">
        <f>IF(OR($I52="",$H52="Terminé"),"",$I52-TODAY())</f>
        <v/>
      </c>
      <c r="K52" s="2" t="n"/>
    </row>
    <row r="53">
      <c r="A53" s="2" t="n"/>
      <c r="B53" s="2" t="n"/>
      <c r="C53" s="2" t="n"/>
      <c r="D53" s="2" t="n"/>
      <c r="E53" s="2" t="n"/>
      <c r="F53" s="2" t="n"/>
      <c r="G53" s="3" t="n"/>
      <c r="H53" s="2" t="n"/>
      <c r="I53" s="4" t="n"/>
      <c r="J53" s="5">
        <f>IF(OR($I53="",$H53="Terminé"),"",$I53-TODAY())</f>
        <v/>
      </c>
      <c r="K53" s="2" t="n"/>
    </row>
    <row r="54">
      <c r="A54" s="2" t="n"/>
      <c r="B54" s="2" t="n"/>
      <c r="C54" s="2" t="n"/>
      <c r="D54" s="2" t="n"/>
      <c r="E54" s="2" t="n"/>
      <c r="F54" s="2" t="n"/>
      <c r="G54" s="3" t="n"/>
      <c r="H54" s="2" t="n"/>
      <c r="I54" s="4" t="n"/>
      <c r="J54" s="5">
        <f>IF(OR($I54="",$H54="Terminé"),"",$I54-TODAY())</f>
        <v/>
      </c>
      <c r="K54" s="2" t="n"/>
    </row>
    <row r="55">
      <c r="A55" s="2" t="n"/>
      <c r="B55" s="2" t="n"/>
      <c r="C55" s="2" t="n"/>
      <c r="D55" s="2" t="n"/>
      <c r="E55" s="2" t="n"/>
      <c r="F55" s="2" t="n"/>
      <c r="G55" s="3" t="n"/>
      <c r="H55" s="2" t="n"/>
      <c r="I55" s="4" t="n"/>
      <c r="J55" s="5">
        <f>IF(OR($I55="",$H55="Terminé"),"",$I55-TODAY())</f>
        <v/>
      </c>
      <c r="K55" s="2" t="n"/>
    </row>
    <row r="56">
      <c r="A56" s="2" t="n"/>
      <c r="B56" s="2" t="n"/>
      <c r="C56" s="2" t="n"/>
      <c r="D56" s="2" t="n"/>
      <c r="E56" s="2" t="n"/>
      <c r="F56" s="2" t="n"/>
      <c r="G56" s="3" t="n"/>
      <c r="H56" s="2" t="n"/>
      <c r="I56" s="4" t="n"/>
      <c r="J56" s="5">
        <f>IF(OR($I56="",$H56="Terminé"),"",$I56-TODAY())</f>
        <v/>
      </c>
      <c r="K56" s="2" t="n"/>
    </row>
    <row r="57">
      <c r="A57" s="2" t="n"/>
      <c r="B57" s="2" t="n"/>
      <c r="C57" s="2" t="n"/>
      <c r="D57" s="2" t="n"/>
      <c r="E57" s="2" t="n"/>
      <c r="F57" s="2" t="n"/>
      <c r="G57" s="3" t="n"/>
      <c r="H57" s="2" t="n"/>
      <c r="I57" s="4" t="n"/>
      <c r="J57" s="5">
        <f>IF(OR($I57="",$H57="Terminé"),"",$I57-TODAY())</f>
        <v/>
      </c>
      <c r="K57" s="2" t="n"/>
    </row>
    <row r="58">
      <c r="A58" s="2" t="n"/>
      <c r="B58" s="2" t="n"/>
      <c r="C58" s="2" t="n"/>
      <c r="D58" s="2" t="n"/>
      <c r="E58" s="2" t="n"/>
      <c r="F58" s="2" t="n"/>
      <c r="G58" s="3" t="n"/>
      <c r="H58" s="2" t="n"/>
      <c r="I58" s="4" t="n"/>
      <c r="J58" s="5">
        <f>IF(OR($I58="",$H58="Terminé"),"",$I58-TODAY())</f>
        <v/>
      </c>
      <c r="K58" s="2" t="n"/>
    </row>
    <row r="59">
      <c r="A59" s="2" t="n"/>
      <c r="B59" s="2" t="n"/>
      <c r="C59" s="2" t="n"/>
      <c r="D59" s="2" t="n"/>
      <c r="E59" s="2" t="n"/>
      <c r="F59" s="2" t="n"/>
      <c r="G59" s="3" t="n"/>
      <c r="H59" s="2" t="n"/>
      <c r="I59" s="4" t="n"/>
      <c r="J59" s="5">
        <f>IF(OR($I59="",$H59="Terminé"),"",$I59-TODAY())</f>
        <v/>
      </c>
      <c r="K59" s="2" t="n"/>
    </row>
    <row r="60">
      <c r="A60" s="2" t="n"/>
      <c r="B60" s="2" t="n"/>
      <c r="C60" s="2" t="n"/>
      <c r="D60" s="2" t="n"/>
      <c r="E60" s="2" t="n"/>
      <c r="F60" s="2" t="n"/>
      <c r="G60" s="3" t="n"/>
      <c r="H60" s="2" t="n"/>
      <c r="I60" s="4" t="n"/>
      <c r="J60" s="5">
        <f>IF(OR($I60="",$H60="Terminé"),"",$I60-TODAY())</f>
        <v/>
      </c>
      <c r="K60" s="2" t="n"/>
    </row>
    <row r="61">
      <c r="A61" s="2" t="n"/>
      <c r="B61" s="2" t="n"/>
      <c r="C61" s="2" t="n"/>
      <c r="D61" s="2" t="n"/>
      <c r="E61" s="2" t="n"/>
      <c r="F61" s="2" t="n"/>
      <c r="G61" s="3" t="n"/>
      <c r="H61" s="2" t="n"/>
      <c r="I61" s="4" t="n"/>
      <c r="J61" s="5">
        <f>IF(OR($I61="",$H61="Terminé"),"",$I61-TODAY())</f>
        <v/>
      </c>
      <c r="K61" s="2" t="n"/>
    </row>
    <row r="62">
      <c r="A62" s="2" t="n"/>
      <c r="B62" s="2" t="n"/>
      <c r="C62" s="2" t="n"/>
      <c r="D62" s="2" t="n"/>
      <c r="E62" s="2" t="n"/>
      <c r="F62" s="2" t="n"/>
      <c r="G62" s="3" t="n"/>
      <c r="H62" s="2" t="n"/>
      <c r="I62" s="4" t="n"/>
      <c r="J62" s="5">
        <f>IF(OR($I62="",$H62="Terminé"),"",$I62-TODAY())</f>
        <v/>
      </c>
      <c r="K62" s="2" t="n"/>
    </row>
    <row r="63">
      <c r="A63" s="2" t="n"/>
      <c r="B63" s="2" t="n"/>
      <c r="C63" s="2" t="n"/>
      <c r="D63" s="2" t="n"/>
      <c r="E63" s="2" t="n"/>
      <c r="F63" s="2" t="n"/>
      <c r="G63" s="3" t="n"/>
      <c r="H63" s="2" t="n"/>
      <c r="I63" s="4" t="n"/>
      <c r="J63" s="5">
        <f>IF(OR($I63="",$H63="Terminé"),"",$I63-TODAY())</f>
        <v/>
      </c>
      <c r="K63" s="2" t="n"/>
    </row>
    <row r="64">
      <c r="A64" s="2" t="n"/>
      <c r="B64" s="2" t="n"/>
      <c r="C64" s="2" t="n"/>
      <c r="D64" s="2" t="n"/>
      <c r="E64" s="2" t="n"/>
      <c r="F64" s="2" t="n"/>
      <c r="G64" s="3" t="n"/>
      <c r="H64" s="2" t="n"/>
      <c r="I64" s="4" t="n"/>
      <c r="J64" s="5">
        <f>IF(OR($I64="",$H64="Terminé"),"",$I64-TODAY())</f>
        <v/>
      </c>
      <c r="K64" s="2" t="n"/>
    </row>
    <row r="65">
      <c r="A65" s="2" t="n"/>
      <c r="B65" s="2" t="n"/>
      <c r="C65" s="2" t="n"/>
      <c r="D65" s="2" t="n"/>
      <c r="E65" s="2" t="n"/>
      <c r="F65" s="2" t="n"/>
      <c r="G65" s="3" t="n"/>
      <c r="H65" s="2" t="n"/>
      <c r="I65" s="4" t="n"/>
      <c r="J65" s="5">
        <f>IF(OR($I65="",$H65="Terminé"),"",$I65-TODAY())</f>
        <v/>
      </c>
      <c r="K65" s="2" t="n"/>
    </row>
    <row r="66">
      <c r="A66" s="2" t="n"/>
      <c r="B66" s="2" t="n"/>
      <c r="C66" s="2" t="n"/>
      <c r="D66" s="2" t="n"/>
      <c r="E66" s="2" t="n"/>
      <c r="F66" s="2" t="n"/>
      <c r="G66" s="3" t="n"/>
      <c r="H66" s="2" t="n"/>
      <c r="I66" s="4" t="n"/>
      <c r="J66" s="5">
        <f>IF(OR($I66="",$H66="Terminé"),"",$I66-TODAY())</f>
        <v/>
      </c>
      <c r="K66" s="2" t="n"/>
    </row>
    <row r="67">
      <c r="A67" s="2" t="n"/>
      <c r="B67" s="2" t="n"/>
      <c r="C67" s="2" t="n"/>
      <c r="D67" s="2" t="n"/>
      <c r="E67" s="2" t="n"/>
      <c r="F67" s="2" t="n"/>
      <c r="G67" s="3" t="n"/>
      <c r="H67" s="2" t="n"/>
      <c r="I67" s="4" t="n"/>
      <c r="J67" s="5">
        <f>IF(OR($I67="",$H67="Terminé"),"",$I67-TODAY())</f>
        <v/>
      </c>
      <c r="K67" s="2" t="n"/>
    </row>
    <row r="68">
      <c r="A68" s="2" t="n"/>
      <c r="B68" s="2" t="n"/>
      <c r="C68" s="2" t="n"/>
      <c r="D68" s="2" t="n"/>
      <c r="E68" s="2" t="n"/>
      <c r="F68" s="2" t="n"/>
      <c r="G68" s="3" t="n"/>
      <c r="H68" s="2" t="n"/>
      <c r="I68" s="4" t="n"/>
      <c r="J68" s="5">
        <f>IF(OR($I68="",$H68="Terminé"),"",$I68-TODAY())</f>
        <v/>
      </c>
      <c r="K68" s="2" t="n"/>
    </row>
    <row r="69">
      <c r="A69" s="2" t="n"/>
      <c r="B69" s="2" t="n"/>
      <c r="C69" s="2" t="n"/>
      <c r="D69" s="2" t="n"/>
      <c r="E69" s="2" t="n"/>
      <c r="F69" s="2" t="n"/>
      <c r="G69" s="3" t="n"/>
      <c r="H69" s="2" t="n"/>
      <c r="I69" s="4" t="n"/>
      <c r="J69" s="5">
        <f>IF(OR($I69="",$H69="Terminé"),"",$I69-TODAY())</f>
        <v/>
      </c>
      <c r="K69" s="2" t="n"/>
    </row>
    <row r="70">
      <c r="A70" s="2" t="n"/>
      <c r="B70" s="2" t="n"/>
      <c r="C70" s="2" t="n"/>
      <c r="D70" s="2" t="n"/>
      <c r="E70" s="2" t="n"/>
      <c r="F70" s="2" t="n"/>
      <c r="G70" s="3" t="n"/>
      <c r="H70" s="2" t="n"/>
      <c r="I70" s="4" t="n"/>
      <c r="J70" s="5">
        <f>IF(OR($I70="",$H70="Terminé"),"",$I70-TODAY())</f>
        <v/>
      </c>
      <c r="K70" s="2" t="n"/>
    </row>
    <row r="71">
      <c r="A71" s="2" t="n"/>
      <c r="B71" s="2" t="n"/>
      <c r="C71" s="2" t="n"/>
      <c r="D71" s="2" t="n"/>
      <c r="E71" s="2" t="n"/>
      <c r="F71" s="2" t="n"/>
      <c r="G71" s="3" t="n"/>
      <c r="H71" s="2" t="n"/>
      <c r="I71" s="4" t="n"/>
      <c r="J71" s="5">
        <f>IF(OR($I71="",$H71="Terminé"),"",$I71-TODAY())</f>
        <v/>
      </c>
      <c r="K71" s="2" t="n"/>
    </row>
    <row r="72">
      <c r="A72" s="2" t="n"/>
      <c r="B72" s="2" t="n"/>
      <c r="C72" s="2" t="n"/>
      <c r="D72" s="2" t="n"/>
      <c r="E72" s="2" t="n"/>
      <c r="F72" s="2" t="n"/>
      <c r="G72" s="3" t="n"/>
      <c r="H72" s="2" t="n"/>
      <c r="I72" s="4" t="n"/>
      <c r="J72" s="5">
        <f>IF(OR($I72="",$H72="Terminé"),"",$I72-TODAY())</f>
        <v/>
      </c>
      <c r="K72" s="2" t="n"/>
    </row>
    <row r="73">
      <c r="A73" s="2" t="n"/>
      <c r="B73" s="2" t="n"/>
      <c r="C73" s="2" t="n"/>
      <c r="D73" s="2" t="n"/>
      <c r="E73" s="2" t="n"/>
      <c r="F73" s="2" t="n"/>
      <c r="G73" s="3" t="n"/>
      <c r="H73" s="2" t="n"/>
      <c r="I73" s="4" t="n"/>
      <c r="J73" s="5">
        <f>IF(OR($I73="",$H73="Terminé"),"",$I73-TODAY())</f>
        <v/>
      </c>
      <c r="K73" s="2" t="n"/>
    </row>
    <row r="74">
      <c r="A74" s="2" t="n"/>
      <c r="B74" s="2" t="n"/>
      <c r="C74" s="2" t="n"/>
      <c r="D74" s="2" t="n"/>
      <c r="E74" s="2" t="n"/>
      <c r="F74" s="2" t="n"/>
      <c r="G74" s="3" t="n"/>
      <c r="H74" s="2" t="n"/>
      <c r="I74" s="4" t="n"/>
      <c r="J74" s="5">
        <f>IF(OR($I74="",$H74="Terminé"),"",$I74-TODAY())</f>
        <v/>
      </c>
      <c r="K74" s="2" t="n"/>
    </row>
    <row r="75">
      <c r="A75" s="2" t="n"/>
      <c r="B75" s="2" t="n"/>
      <c r="C75" s="2" t="n"/>
      <c r="D75" s="2" t="n"/>
      <c r="E75" s="2" t="n"/>
      <c r="F75" s="2" t="n"/>
      <c r="G75" s="3" t="n"/>
      <c r="H75" s="2" t="n"/>
      <c r="I75" s="4" t="n"/>
      <c r="J75" s="5">
        <f>IF(OR($I75="",$H75="Terminé"),"",$I75-TODAY())</f>
        <v/>
      </c>
      <c r="K75" s="2" t="n"/>
    </row>
    <row r="76">
      <c r="A76" s="2" t="n"/>
      <c r="B76" s="2" t="n"/>
      <c r="C76" s="2" t="n"/>
      <c r="D76" s="2" t="n"/>
      <c r="E76" s="2" t="n"/>
      <c r="F76" s="2" t="n"/>
      <c r="G76" s="3" t="n"/>
      <c r="H76" s="2" t="n"/>
      <c r="I76" s="4" t="n"/>
      <c r="J76" s="5">
        <f>IF(OR($I76="",$H76="Terminé"),"",$I76-TODAY())</f>
        <v/>
      </c>
      <c r="K76" s="2" t="n"/>
    </row>
    <row r="77">
      <c r="A77" s="2" t="n"/>
      <c r="B77" s="2" t="n"/>
      <c r="C77" s="2" t="n"/>
      <c r="D77" s="2" t="n"/>
      <c r="E77" s="2" t="n"/>
      <c r="F77" s="2" t="n"/>
      <c r="G77" s="3" t="n"/>
      <c r="H77" s="2" t="n"/>
      <c r="I77" s="4" t="n"/>
      <c r="J77" s="5">
        <f>IF(OR($I77="",$H77="Terminé"),"",$I77-TODAY())</f>
        <v/>
      </c>
      <c r="K77" s="2" t="n"/>
    </row>
    <row r="78">
      <c r="A78" s="2" t="n"/>
      <c r="B78" s="2" t="n"/>
      <c r="C78" s="2" t="n"/>
      <c r="D78" s="2" t="n"/>
      <c r="E78" s="2" t="n"/>
      <c r="F78" s="2" t="n"/>
      <c r="G78" s="3" t="n"/>
      <c r="H78" s="2" t="n"/>
      <c r="I78" s="4" t="n"/>
      <c r="J78" s="5">
        <f>IF(OR($I78="",$H78="Terminé"),"",$I78-TODAY())</f>
        <v/>
      </c>
      <c r="K78" s="2" t="n"/>
    </row>
    <row r="79">
      <c r="A79" s="2" t="n"/>
      <c r="B79" s="2" t="n"/>
      <c r="C79" s="2" t="n"/>
      <c r="D79" s="2" t="n"/>
      <c r="E79" s="2" t="n"/>
      <c r="F79" s="2" t="n"/>
      <c r="G79" s="3" t="n"/>
      <c r="H79" s="2" t="n"/>
      <c r="I79" s="4" t="n"/>
      <c r="J79" s="5">
        <f>IF(OR($I79="",$H79="Terminé"),"",$I79-TODAY())</f>
        <v/>
      </c>
      <c r="K79" s="2" t="n"/>
    </row>
    <row r="80">
      <c r="A80" s="2" t="n"/>
      <c r="B80" s="2" t="n"/>
      <c r="C80" s="2" t="n"/>
      <c r="D80" s="2" t="n"/>
      <c r="E80" s="2" t="n"/>
      <c r="F80" s="2" t="n"/>
      <c r="G80" s="3" t="n"/>
      <c r="H80" s="2" t="n"/>
      <c r="I80" s="4" t="n"/>
      <c r="J80" s="5">
        <f>IF(OR($I80="",$H80="Terminé"),"",$I80-TODAY())</f>
        <v/>
      </c>
      <c r="K80" s="2" t="n"/>
    </row>
    <row r="81">
      <c r="A81" s="2" t="n"/>
      <c r="B81" s="2" t="n"/>
      <c r="C81" s="2" t="n"/>
      <c r="D81" s="2" t="n"/>
      <c r="E81" s="2" t="n"/>
      <c r="F81" s="2" t="n"/>
      <c r="G81" s="3" t="n"/>
      <c r="H81" s="2" t="n"/>
      <c r="I81" s="4" t="n"/>
      <c r="J81" s="5">
        <f>IF(OR($I81="",$H81="Terminé"),"",$I81-TODAY())</f>
        <v/>
      </c>
      <c r="K81" s="2" t="n"/>
    </row>
    <row r="82">
      <c r="A82" s="2" t="n"/>
      <c r="B82" s="2" t="n"/>
      <c r="C82" s="2" t="n"/>
      <c r="D82" s="2" t="n"/>
      <c r="E82" s="2" t="n"/>
      <c r="F82" s="2" t="n"/>
      <c r="G82" s="3" t="n"/>
      <c r="H82" s="2" t="n"/>
      <c r="I82" s="4" t="n"/>
      <c r="J82" s="5">
        <f>IF(OR($I82="",$H82="Terminé"),"",$I82-TODAY())</f>
        <v/>
      </c>
      <c r="K82" s="2" t="n"/>
    </row>
    <row r="83">
      <c r="A83" s="2" t="n"/>
      <c r="B83" s="2" t="n"/>
      <c r="C83" s="2" t="n"/>
      <c r="D83" s="2" t="n"/>
      <c r="E83" s="2" t="n"/>
      <c r="F83" s="2" t="n"/>
      <c r="G83" s="3" t="n"/>
      <c r="H83" s="2" t="n"/>
      <c r="I83" s="4" t="n"/>
      <c r="J83" s="5">
        <f>IF(OR($I83="",$H83="Terminé"),"",$I83-TODAY())</f>
        <v/>
      </c>
      <c r="K83" s="2" t="n"/>
    </row>
    <row r="84">
      <c r="A84" s="2" t="n"/>
      <c r="B84" s="2" t="n"/>
      <c r="C84" s="2" t="n"/>
      <c r="D84" s="2" t="n"/>
      <c r="E84" s="2" t="n"/>
      <c r="F84" s="2" t="n"/>
      <c r="G84" s="3" t="n"/>
      <c r="H84" s="2" t="n"/>
      <c r="I84" s="4" t="n"/>
      <c r="J84" s="5">
        <f>IF(OR($I84="",$H84="Terminé"),"",$I84-TODAY())</f>
        <v/>
      </c>
      <c r="K84" s="2" t="n"/>
    </row>
    <row r="85">
      <c r="A85" s="2" t="n"/>
      <c r="B85" s="2" t="n"/>
      <c r="C85" s="2" t="n"/>
      <c r="D85" s="2" t="n"/>
      <c r="E85" s="2" t="n"/>
      <c r="F85" s="2" t="n"/>
      <c r="G85" s="3" t="n"/>
      <c r="H85" s="2" t="n"/>
      <c r="I85" s="4" t="n"/>
      <c r="J85" s="5">
        <f>IF(OR($I85="",$H85="Terminé"),"",$I85-TODAY())</f>
        <v/>
      </c>
      <c r="K85" s="2" t="n"/>
    </row>
    <row r="86">
      <c r="A86" s="2" t="n"/>
      <c r="B86" s="2" t="n"/>
      <c r="C86" s="2" t="n"/>
      <c r="D86" s="2" t="n"/>
      <c r="E86" s="2" t="n"/>
      <c r="F86" s="2" t="n"/>
      <c r="G86" s="3" t="n"/>
      <c r="H86" s="2" t="n"/>
      <c r="I86" s="4" t="n"/>
      <c r="J86" s="5">
        <f>IF(OR($I86="",$H86="Terminé"),"",$I86-TODAY())</f>
        <v/>
      </c>
      <c r="K86" s="2" t="n"/>
    </row>
    <row r="87">
      <c r="A87" s="2" t="n"/>
      <c r="B87" s="2" t="n"/>
      <c r="C87" s="2" t="n"/>
      <c r="D87" s="2" t="n"/>
      <c r="E87" s="2" t="n"/>
      <c r="F87" s="2" t="n"/>
      <c r="G87" s="3" t="n"/>
      <c r="H87" s="2" t="n"/>
      <c r="I87" s="4" t="n"/>
      <c r="J87" s="5">
        <f>IF(OR($I87="",$H87="Terminé"),"",$I87-TODAY())</f>
        <v/>
      </c>
      <c r="K87" s="2" t="n"/>
    </row>
    <row r="88">
      <c r="A88" s="2" t="n"/>
      <c r="B88" s="2" t="n"/>
      <c r="C88" s="2" t="n"/>
      <c r="D88" s="2" t="n"/>
      <c r="E88" s="2" t="n"/>
      <c r="F88" s="2" t="n"/>
      <c r="G88" s="3" t="n"/>
      <c r="H88" s="2" t="n"/>
      <c r="I88" s="4" t="n"/>
      <c r="J88" s="5">
        <f>IF(OR($I88="",$H88="Terminé"),"",$I88-TODAY())</f>
        <v/>
      </c>
      <c r="K88" s="2" t="n"/>
    </row>
    <row r="89">
      <c r="A89" s="2" t="n"/>
      <c r="B89" s="2" t="n"/>
      <c r="C89" s="2" t="n"/>
      <c r="D89" s="2" t="n"/>
      <c r="E89" s="2" t="n"/>
      <c r="F89" s="2" t="n"/>
      <c r="G89" s="3" t="n"/>
      <c r="H89" s="2" t="n"/>
      <c r="I89" s="4" t="n"/>
      <c r="J89" s="5">
        <f>IF(OR($I89="",$H89="Terminé"),"",$I89-TODAY())</f>
        <v/>
      </c>
      <c r="K89" s="2" t="n"/>
    </row>
    <row r="90">
      <c r="A90" s="2" t="n"/>
      <c r="B90" s="2" t="n"/>
      <c r="C90" s="2" t="n"/>
      <c r="D90" s="2" t="n"/>
      <c r="E90" s="2" t="n"/>
      <c r="F90" s="2" t="n"/>
      <c r="G90" s="3" t="n"/>
      <c r="H90" s="2" t="n"/>
      <c r="I90" s="4" t="n"/>
      <c r="J90" s="5">
        <f>IF(OR($I90="",$H90="Terminé"),"",$I90-TODAY())</f>
        <v/>
      </c>
      <c r="K90" s="2" t="n"/>
    </row>
    <row r="91">
      <c r="A91" s="2" t="n"/>
      <c r="B91" s="2" t="n"/>
      <c r="C91" s="2" t="n"/>
      <c r="D91" s="2" t="n"/>
      <c r="E91" s="2" t="n"/>
      <c r="F91" s="2" t="n"/>
      <c r="G91" s="3" t="n"/>
      <c r="H91" s="2" t="n"/>
      <c r="I91" s="4" t="n"/>
      <c r="J91" s="5">
        <f>IF(OR($I91="",$H91="Terminé"),"",$I91-TODAY())</f>
        <v/>
      </c>
      <c r="K91" s="2" t="n"/>
    </row>
    <row r="92">
      <c r="A92" s="2" t="n"/>
      <c r="B92" s="2" t="n"/>
      <c r="C92" s="2" t="n"/>
      <c r="D92" s="2" t="n"/>
      <c r="E92" s="2" t="n"/>
      <c r="F92" s="2" t="n"/>
      <c r="G92" s="3" t="n"/>
      <c r="H92" s="2" t="n"/>
      <c r="I92" s="4" t="n"/>
      <c r="J92" s="5">
        <f>IF(OR($I92="",$H92="Terminé"),"",$I92-TODAY())</f>
        <v/>
      </c>
      <c r="K92" s="2" t="n"/>
    </row>
    <row r="93">
      <c r="A93" s="2" t="n"/>
      <c r="B93" s="2" t="n"/>
      <c r="C93" s="2" t="n"/>
      <c r="D93" s="2" t="n"/>
      <c r="E93" s="2" t="n"/>
      <c r="F93" s="2" t="n"/>
      <c r="G93" s="3" t="n"/>
      <c r="H93" s="2" t="n"/>
      <c r="I93" s="4" t="n"/>
      <c r="J93" s="5">
        <f>IF(OR($I93="",$H93="Terminé"),"",$I93-TODAY())</f>
        <v/>
      </c>
      <c r="K93" s="2" t="n"/>
    </row>
    <row r="94">
      <c r="A94" s="2" t="n"/>
      <c r="B94" s="2" t="n"/>
      <c r="C94" s="2" t="n"/>
      <c r="D94" s="2" t="n"/>
      <c r="E94" s="2" t="n"/>
      <c r="F94" s="2" t="n"/>
      <c r="G94" s="3" t="n"/>
      <c r="H94" s="2" t="n"/>
      <c r="I94" s="4" t="n"/>
      <c r="J94" s="5">
        <f>IF(OR($I94="",$H94="Terminé"),"",$I94-TODAY())</f>
        <v/>
      </c>
      <c r="K94" s="2" t="n"/>
    </row>
    <row r="95">
      <c r="A95" s="2" t="n"/>
      <c r="B95" s="2" t="n"/>
      <c r="C95" s="2" t="n"/>
      <c r="D95" s="2" t="n"/>
      <c r="E95" s="2" t="n"/>
      <c r="F95" s="2" t="n"/>
      <c r="G95" s="3" t="n"/>
      <c r="H95" s="2" t="n"/>
      <c r="I95" s="4" t="n"/>
      <c r="J95" s="5">
        <f>IF(OR($I95="",$H95="Terminé"),"",$I95-TODAY())</f>
        <v/>
      </c>
      <c r="K95" s="2" t="n"/>
    </row>
    <row r="96">
      <c r="A96" s="2" t="n"/>
      <c r="B96" s="2" t="n"/>
      <c r="C96" s="2" t="n"/>
      <c r="D96" s="2" t="n"/>
      <c r="E96" s="2" t="n"/>
      <c r="F96" s="2" t="n"/>
      <c r="G96" s="3" t="n"/>
      <c r="H96" s="2" t="n"/>
      <c r="I96" s="4" t="n"/>
      <c r="J96" s="5">
        <f>IF(OR($I96="",$H96="Terminé"),"",$I96-TODAY())</f>
        <v/>
      </c>
      <c r="K96" s="2" t="n"/>
    </row>
    <row r="97">
      <c r="A97" s="2" t="n"/>
      <c r="B97" s="2" t="n"/>
      <c r="C97" s="2" t="n"/>
      <c r="D97" s="2" t="n"/>
      <c r="E97" s="2" t="n"/>
      <c r="F97" s="2" t="n"/>
      <c r="G97" s="3" t="n"/>
      <c r="H97" s="2" t="n"/>
      <c r="I97" s="4" t="n"/>
      <c r="J97" s="5">
        <f>IF(OR($I97="",$H97="Terminé"),"",$I97-TODAY())</f>
        <v/>
      </c>
      <c r="K97" s="2" t="n"/>
    </row>
    <row r="98">
      <c r="A98" s="2" t="n"/>
      <c r="B98" s="2" t="n"/>
      <c r="C98" s="2" t="n"/>
      <c r="D98" s="2" t="n"/>
      <c r="E98" s="2" t="n"/>
      <c r="F98" s="2" t="n"/>
      <c r="G98" s="3" t="n"/>
      <c r="H98" s="2" t="n"/>
      <c r="I98" s="4" t="n"/>
      <c r="J98" s="5">
        <f>IF(OR($I98="",$H98="Terminé"),"",$I98-TODAY())</f>
        <v/>
      </c>
      <c r="K98" s="2" t="n"/>
    </row>
    <row r="99">
      <c r="A99" s="2" t="n"/>
      <c r="B99" s="2" t="n"/>
      <c r="C99" s="2" t="n"/>
      <c r="D99" s="2" t="n"/>
      <c r="E99" s="2" t="n"/>
      <c r="F99" s="2" t="n"/>
      <c r="G99" s="3" t="n"/>
      <c r="H99" s="2" t="n"/>
      <c r="I99" s="4" t="n"/>
      <c r="J99" s="5">
        <f>IF(OR($I99="",$H99="Terminé"),"",$I99-TODAY())</f>
        <v/>
      </c>
      <c r="K99" s="2" t="n"/>
    </row>
    <row r="100">
      <c r="A100" s="2" t="n"/>
      <c r="B100" s="2" t="n"/>
      <c r="C100" s="2" t="n"/>
      <c r="D100" s="2" t="n"/>
      <c r="E100" s="2" t="n"/>
      <c r="F100" s="2" t="n"/>
      <c r="G100" s="3" t="n"/>
      <c r="H100" s="2" t="n"/>
      <c r="I100" s="4" t="n"/>
      <c r="J100" s="5">
        <f>IF(OR($I100="",$H100="Terminé"),"",$I100-TODAY())</f>
        <v/>
      </c>
      <c r="K100" s="2" t="n"/>
    </row>
    <row r="101">
      <c r="A101" s="2" t="n"/>
      <c r="B101" s="2" t="n"/>
      <c r="C101" s="2" t="n"/>
      <c r="D101" s="2" t="n"/>
      <c r="E101" s="2" t="n"/>
      <c r="F101" s="2" t="n"/>
      <c r="G101" s="3" t="n"/>
      <c r="H101" s="2" t="n"/>
      <c r="I101" s="4" t="n"/>
      <c r="J101" s="5">
        <f>IF(OR($I101="",$H101="Terminé"),"",$I101-TODAY())</f>
        <v/>
      </c>
      <c r="K101" s="2" t="n"/>
    </row>
    <row r="102">
      <c r="A102" s="2" t="n"/>
      <c r="B102" s="2" t="n"/>
      <c r="C102" s="2" t="n"/>
      <c r="D102" s="2" t="n"/>
      <c r="E102" s="2" t="n"/>
      <c r="F102" s="2" t="n"/>
      <c r="G102" s="3" t="n"/>
      <c r="H102" s="2" t="n"/>
      <c r="I102" s="4" t="n"/>
      <c r="J102" s="5">
        <f>IF(OR($I102="",$H102="Terminé"),"",$I102-TODAY())</f>
        <v/>
      </c>
      <c r="K102" s="2" t="n"/>
    </row>
    <row r="103">
      <c r="A103" s="2" t="n"/>
      <c r="B103" s="2" t="n"/>
      <c r="C103" s="2" t="n"/>
      <c r="D103" s="2" t="n"/>
      <c r="E103" s="2" t="n"/>
      <c r="F103" s="2" t="n"/>
      <c r="G103" s="3" t="n"/>
      <c r="H103" s="2" t="n"/>
      <c r="I103" s="4" t="n"/>
      <c r="J103" s="5">
        <f>IF(OR($I103="",$H103="Terminé"),"",$I103-TODAY())</f>
        <v/>
      </c>
      <c r="K103" s="2" t="n"/>
    </row>
    <row r="104">
      <c r="A104" s="2" t="n"/>
      <c r="B104" s="2" t="n"/>
      <c r="C104" s="2" t="n"/>
      <c r="D104" s="2" t="n"/>
      <c r="E104" s="2" t="n"/>
      <c r="F104" s="2" t="n"/>
      <c r="G104" s="3" t="n"/>
      <c r="H104" s="2" t="n"/>
      <c r="I104" s="4" t="n"/>
      <c r="J104" s="5">
        <f>IF(OR($I104="",$H104="Terminé"),"",$I104-TODAY())</f>
        <v/>
      </c>
      <c r="K104" s="2" t="n"/>
    </row>
    <row r="105">
      <c r="A105" s="2" t="n"/>
      <c r="B105" s="2" t="n"/>
      <c r="C105" s="2" t="n"/>
      <c r="D105" s="2" t="n"/>
      <c r="E105" s="2" t="n"/>
      <c r="F105" s="2" t="n"/>
      <c r="G105" s="3" t="n"/>
      <c r="H105" s="2" t="n"/>
      <c r="I105" s="4" t="n"/>
      <c r="J105" s="5">
        <f>IF(OR($I105="",$H105="Terminé"),"",$I105-TODAY())</f>
        <v/>
      </c>
      <c r="K105" s="2" t="n"/>
    </row>
    <row r="106">
      <c r="A106" s="2" t="n"/>
      <c r="B106" s="2" t="n"/>
      <c r="C106" s="2" t="n"/>
      <c r="D106" s="2" t="n"/>
      <c r="E106" s="2" t="n"/>
      <c r="F106" s="2" t="n"/>
      <c r="G106" s="3" t="n"/>
      <c r="H106" s="2" t="n"/>
      <c r="I106" s="4" t="n"/>
      <c r="J106" s="5">
        <f>IF(OR($I106="",$H106="Terminé"),"",$I106-TODAY())</f>
        <v/>
      </c>
      <c r="K106" s="2" t="n"/>
    </row>
    <row r="107">
      <c r="A107" s="2" t="n"/>
      <c r="B107" s="2" t="n"/>
      <c r="C107" s="2" t="n"/>
      <c r="D107" s="2" t="n"/>
      <c r="E107" s="2" t="n"/>
      <c r="F107" s="2" t="n"/>
      <c r="G107" s="3" t="n"/>
      <c r="H107" s="2" t="n"/>
      <c r="I107" s="4" t="n"/>
      <c r="J107" s="5">
        <f>IF(OR($I107="",$H107="Terminé"),"",$I107-TODAY())</f>
        <v/>
      </c>
      <c r="K107" s="2" t="n"/>
    </row>
    <row r="108">
      <c r="A108" s="2" t="n"/>
      <c r="B108" s="2" t="n"/>
      <c r="C108" s="2" t="n"/>
      <c r="D108" s="2" t="n"/>
      <c r="E108" s="2" t="n"/>
      <c r="F108" s="2" t="n"/>
      <c r="G108" s="3" t="n"/>
      <c r="H108" s="2" t="n"/>
      <c r="I108" s="4" t="n"/>
      <c r="J108" s="5">
        <f>IF(OR($I108="",$H108="Terminé"),"",$I108-TODAY())</f>
        <v/>
      </c>
      <c r="K108" s="2" t="n"/>
    </row>
    <row r="109">
      <c r="A109" s="2" t="n"/>
      <c r="B109" s="2" t="n"/>
      <c r="C109" s="2" t="n"/>
      <c r="D109" s="2" t="n"/>
      <c r="E109" s="2" t="n"/>
      <c r="F109" s="2" t="n"/>
      <c r="G109" s="3" t="n"/>
      <c r="H109" s="2" t="n"/>
      <c r="I109" s="4" t="n"/>
      <c r="J109" s="5">
        <f>IF(OR($I109="",$H109="Terminé"),"",$I109-TODAY())</f>
        <v/>
      </c>
      <c r="K109" s="2" t="n"/>
    </row>
    <row r="110">
      <c r="A110" s="2" t="n"/>
      <c r="B110" s="2" t="n"/>
      <c r="C110" s="2" t="n"/>
      <c r="D110" s="2" t="n"/>
      <c r="E110" s="2" t="n"/>
      <c r="F110" s="2" t="n"/>
      <c r="G110" s="3" t="n"/>
      <c r="H110" s="2" t="n"/>
      <c r="I110" s="4" t="n"/>
      <c r="J110" s="5">
        <f>IF(OR($I110="",$H110="Terminé"),"",$I110-TODAY())</f>
        <v/>
      </c>
      <c r="K110" s="2" t="n"/>
    </row>
    <row r="111">
      <c r="A111" s="2" t="n"/>
      <c r="B111" s="2" t="n"/>
      <c r="C111" s="2" t="n"/>
      <c r="D111" s="2" t="n"/>
      <c r="E111" s="2" t="n"/>
      <c r="F111" s="2" t="n"/>
      <c r="G111" s="3" t="n"/>
      <c r="H111" s="2" t="n"/>
      <c r="I111" s="4" t="n"/>
      <c r="J111" s="5">
        <f>IF(OR($I111="",$H111="Terminé"),"",$I111-TODAY())</f>
        <v/>
      </c>
      <c r="K111" s="2" t="n"/>
    </row>
    <row r="112">
      <c r="A112" s="2" t="n"/>
      <c r="B112" s="2" t="n"/>
      <c r="C112" s="2" t="n"/>
      <c r="D112" s="2" t="n"/>
      <c r="E112" s="2" t="n"/>
      <c r="F112" s="2" t="n"/>
      <c r="G112" s="3" t="n"/>
      <c r="H112" s="2" t="n"/>
      <c r="I112" s="4" t="n"/>
      <c r="J112" s="5">
        <f>IF(OR($I112="",$H112="Terminé"),"",$I112-TODAY())</f>
        <v/>
      </c>
      <c r="K112" s="2" t="n"/>
    </row>
    <row r="113">
      <c r="A113" s="2" t="n"/>
      <c r="B113" s="2" t="n"/>
      <c r="C113" s="2" t="n"/>
      <c r="D113" s="2" t="n"/>
      <c r="E113" s="2" t="n"/>
      <c r="F113" s="2" t="n"/>
      <c r="G113" s="3" t="n"/>
      <c r="H113" s="2" t="n"/>
      <c r="I113" s="4" t="n"/>
      <c r="J113" s="5">
        <f>IF(OR($I113="",$H113="Terminé"),"",$I113-TODAY())</f>
        <v/>
      </c>
      <c r="K113" s="2" t="n"/>
    </row>
    <row r="114">
      <c r="A114" s="2" t="n"/>
      <c r="B114" s="2" t="n"/>
      <c r="C114" s="2" t="n"/>
      <c r="D114" s="2" t="n"/>
      <c r="E114" s="2" t="n"/>
      <c r="F114" s="2" t="n"/>
      <c r="G114" s="3" t="n"/>
      <c r="H114" s="2" t="n"/>
      <c r="I114" s="4" t="n"/>
      <c r="J114" s="5">
        <f>IF(OR($I114="",$H114="Terminé"),"",$I114-TODAY())</f>
        <v/>
      </c>
      <c r="K114" s="2" t="n"/>
    </row>
    <row r="115">
      <c r="A115" s="2" t="n"/>
      <c r="B115" s="2" t="n"/>
      <c r="C115" s="2" t="n"/>
      <c r="D115" s="2" t="n"/>
      <c r="E115" s="2" t="n"/>
      <c r="F115" s="2" t="n"/>
      <c r="G115" s="3" t="n"/>
      <c r="H115" s="2" t="n"/>
      <c r="I115" s="4" t="n"/>
      <c r="J115" s="5">
        <f>IF(OR($I115="",$H115="Terminé"),"",$I115-TODAY())</f>
        <v/>
      </c>
      <c r="K115" s="2" t="n"/>
    </row>
    <row r="116">
      <c r="A116" s="2" t="n"/>
      <c r="B116" s="2" t="n"/>
      <c r="C116" s="2" t="n"/>
      <c r="D116" s="2" t="n"/>
      <c r="E116" s="2" t="n"/>
      <c r="F116" s="2" t="n"/>
      <c r="G116" s="3" t="n"/>
      <c r="H116" s="2" t="n"/>
      <c r="I116" s="4" t="n"/>
      <c r="J116" s="5">
        <f>IF(OR($I116="",$H116="Terminé"),"",$I116-TODAY())</f>
        <v/>
      </c>
      <c r="K116" s="2" t="n"/>
    </row>
    <row r="117">
      <c r="A117" s="2" t="n"/>
      <c r="B117" s="2" t="n"/>
      <c r="C117" s="2" t="n"/>
      <c r="D117" s="2" t="n"/>
      <c r="E117" s="2" t="n"/>
      <c r="F117" s="2" t="n"/>
      <c r="G117" s="3" t="n"/>
      <c r="H117" s="2" t="n"/>
      <c r="I117" s="4" t="n"/>
      <c r="J117" s="5">
        <f>IF(OR($I117="",$H117="Terminé"),"",$I117-TODAY())</f>
        <v/>
      </c>
      <c r="K117" s="2" t="n"/>
    </row>
    <row r="118">
      <c r="A118" s="2" t="n"/>
      <c r="B118" s="2" t="n"/>
      <c r="C118" s="2" t="n"/>
      <c r="D118" s="2" t="n"/>
      <c r="E118" s="2" t="n"/>
      <c r="F118" s="2" t="n"/>
      <c r="G118" s="3" t="n"/>
      <c r="H118" s="2" t="n"/>
      <c r="I118" s="4" t="n"/>
      <c r="J118" s="5">
        <f>IF(OR($I118="",$H118="Terminé"),"",$I118-TODAY())</f>
        <v/>
      </c>
      <c r="K118" s="2" t="n"/>
    </row>
    <row r="119">
      <c r="A119" s="2" t="n"/>
      <c r="B119" s="2" t="n"/>
      <c r="C119" s="2" t="n"/>
      <c r="D119" s="2" t="n"/>
      <c r="E119" s="2" t="n"/>
      <c r="F119" s="2" t="n"/>
      <c r="G119" s="3" t="n"/>
      <c r="H119" s="2" t="n"/>
      <c r="I119" s="4" t="n"/>
      <c r="J119" s="5">
        <f>IF(OR($I119="",$H119="Terminé"),"",$I119-TODAY())</f>
        <v/>
      </c>
      <c r="K119" s="2" t="n"/>
    </row>
    <row r="120">
      <c r="A120" s="2" t="n"/>
      <c r="B120" s="2" t="n"/>
      <c r="C120" s="2" t="n"/>
      <c r="D120" s="2" t="n"/>
      <c r="E120" s="2" t="n"/>
      <c r="F120" s="2" t="n"/>
      <c r="G120" s="3" t="n"/>
      <c r="H120" s="2" t="n"/>
      <c r="I120" s="4" t="n"/>
      <c r="J120" s="5">
        <f>IF(OR($I120="",$H120="Terminé"),"",$I120-TODAY())</f>
        <v/>
      </c>
      <c r="K120" s="2" t="n"/>
    </row>
    <row r="121">
      <c r="A121" s="2" t="n"/>
      <c r="B121" s="2" t="n"/>
      <c r="C121" s="2" t="n"/>
      <c r="D121" s="2" t="n"/>
      <c r="E121" s="2" t="n"/>
      <c r="F121" s="2" t="n"/>
      <c r="G121" s="3" t="n"/>
      <c r="H121" s="2" t="n"/>
      <c r="I121" s="4" t="n"/>
      <c r="J121" s="5">
        <f>IF(OR($I121="",$H121="Terminé"),"",$I121-TODAY())</f>
        <v/>
      </c>
      <c r="K121" s="2" t="n"/>
    </row>
    <row r="122">
      <c r="A122" s="2" t="n"/>
      <c r="B122" s="2" t="n"/>
      <c r="C122" s="2" t="n"/>
      <c r="D122" s="2" t="n"/>
      <c r="E122" s="2" t="n"/>
      <c r="F122" s="2" t="n"/>
      <c r="G122" s="3" t="n"/>
      <c r="H122" s="2" t="n"/>
      <c r="I122" s="4" t="n"/>
      <c r="J122" s="5">
        <f>IF(OR($I122="",$H122="Terminé"),"",$I122-TODAY())</f>
        <v/>
      </c>
      <c r="K122" s="2" t="n"/>
    </row>
    <row r="123">
      <c r="A123" s="2" t="n"/>
      <c r="B123" s="2" t="n"/>
      <c r="C123" s="2" t="n"/>
      <c r="D123" s="2" t="n"/>
      <c r="E123" s="2" t="n"/>
      <c r="F123" s="2" t="n"/>
      <c r="G123" s="3" t="n"/>
      <c r="H123" s="2" t="n"/>
      <c r="I123" s="4" t="n"/>
      <c r="J123" s="5">
        <f>IF(OR($I123="",$H123="Terminé"),"",$I123-TODAY())</f>
        <v/>
      </c>
      <c r="K123" s="2" t="n"/>
    </row>
    <row r="124">
      <c r="A124" s="2" t="n"/>
      <c r="B124" s="2" t="n"/>
      <c r="C124" s="2" t="n"/>
      <c r="D124" s="2" t="n"/>
      <c r="E124" s="2" t="n"/>
      <c r="F124" s="2" t="n"/>
      <c r="G124" s="3" t="n"/>
      <c r="H124" s="2" t="n"/>
      <c r="I124" s="4" t="n"/>
      <c r="J124" s="5">
        <f>IF(OR($I124="",$H124="Terminé"),"",$I124-TODAY())</f>
        <v/>
      </c>
      <c r="K124" s="2" t="n"/>
    </row>
    <row r="125">
      <c r="A125" s="2" t="n"/>
      <c r="B125" s="2" t="n"/>
      <c r="C125" s="2" t="n"/>
      <c r="D125" s="2" t="n"/>
      <c r="E125" s="2" t="n"/>
      <c r="F125" s="2" t="n"/>
      <c r="G125" s="3" t="n"/>
      <c r="H125" s="2" t="n"/>
      <c r="I125" s="4" t="n"/>
      <c r="J125" s="5">
        <f>IF(OR($I125="",$H125="Terminé"),"",$I125-TODAY())</f>
        <v/>
      </c>
      <c r="K125" s="2" t="n"/>
    </row>
    <row r="126">
      <c r="A126" s="2" t="n"/>
      <c r="B126" s="2" t="n"/>
      <c r="C126" s="2" t="n"/>
      <c r="D126" s="2" t="n"/>
      <c r="E126" s="2" t="n"/>
      <c r="F126" s="2" t="n"/>
      <c r="G126" s="3" t="n"/>
      <c r="H126" s="2" t="n"/>
      <c r="I126" s="4" t="n"/>
      <c r="J126" s="5">
        <f>IF(OR($I126="",$H126="Terminé"),"",$I126-TODAY())</f>
        <v/>
      </c>
      <c r="K126" s="2" t="n"/>
    </row>
    <row r="127">
      <c r="A127" s="2" t="n"/>
      <c r="B127" s="2" t="n"/>
      <c r="C127" s="2" t="n"/>
      <c r="D127" s="2" t="n"/>
      <c r="E127" s="2" t="n"/>
      <c r="F127" s="2" t="n"/>
      <c r="G127" s="3" t="n"/>
      <c r="H127" s="2" t="n"/>
      <c r="I127" s="4" t="n"/>
      <c r="J127" s="5">
        <f>IF(OR($I127="",$H127="Terminé"),"",$I127-TODAY())</f>
        <v/>
      </c>
      <c r="K127" s="2" t="n"/>
    </row>
    <row r="128">
      <c r="A128" s="2" t="n"/>
      <c r="B128" s="2" t="n"/>
      <c r="C128" s="2" t="n"/>
      <c r="D128" s="2" t="n"/>
      <c r="E128" s="2" t="n"/>
      <c r="F128" s="2" t="n"/>
      <c r="G128" s="3" t="n"/>
      <c r="H128" s="2" t="n"/>
      <c r="I128" s="4" t="n"/>
      <c r="J128" s="5">
        <f>IF(OR($I128="",$H128="Terminé"),"",$I128-TODAY())</f>
        <v/>
      </c>
      <c r="K128" s="2" t="n"/>
    </row>
    <row r="129">
      <c r="A129" s="2" t="n"/>
      <c r="B129" s="2" t="n"/>
      <c r="C129" s="2" t="n"/>
      <c r="D129" s="2" t="n"/>
      <c r="E129" s="2" t="n"/>
      <c r="F129" s="2" t="n"/>
      <c r="G129" s="3" t="n"/>
      <c r="H129" s="2" t="n"/>
      <c r="I129" s="4" t="n"/>
      <c r="J129" s="5">
        <f>IF(OR($I129="",$H129="Terminé"),"",$I129-TODAY())</f>
        <v/>
      </c>
      <c r="K129" s="2" t="n"/>
    </row>
    <row r="130">
      <c r="A130" s="2" t="n"/>
      <c r="B130" s="2" t="n"/>
      <c r="C130" s="2" t="n"/>
      <c r="D130" s="2" t="n"/>
      <c r="E130" s="2" t="n"/>
      <c r="F130" s="2" t="n"/>
      <c r="G130" s="3" t="n"/>
      <c r="H130" s="2" t="n"/>
      <c r="I130" s="4" t="n"/>
      <c r="J130" s="5">
        <f>IF(OR($I130="",$H130="Terminé"),"",$I130-TODAY())</f>
        <v/>
      </c>
      <c r="K130" s="2" t="n"/>
    </row>
    <row r="131">
      <c r="A131" s="2" t="n"/>
      <c r="B131" s="2" t="n"/>
      <c r="C131" s="2" t="n"/>
      <c r="D131" s="2" t="n"/>
      <c r="E131" s="2" t="n"/>
      <c r="F131" s="2" t="n"/>
      <c r="G131" s="3" t="n"/>
      <c r="H131" s="2" t="n"/>
      <c r="I131" s="4" t="n"/>
      <c r="J131" s="5">
        <f>IF(OR($I131="",$H131="Terminé"),"",$I131-TODAY())</f>
        <v/>
      </c>
      <c r="K131" s="2" t="n"/>
    </row>
    <row r="132">
      <c r="A132" s="2" t="n"/>
      <c r="B132" s="2" t="n"/>
      <c r="C132" s="2" t="n"/>
      <c r="D132" s="2" t="n"/>
      <c r="E132" s="2" t="n"/>
      <c r="F132" s="2" t="n"/>
      <c r="G132" s="3" t="n"/>
      <c r="H132" s="2" t="n"/>
      <c r="I132" s="4" t="n"/>
      <c r="J132" s="5">
        <f>IF(OR($I132="",$H132="Terminé"),"",$I132-TODAY())</f>
        <v/>
      </c>
      <c r="K132" s="2" t="n"/>
    </row>
    <row r="133">
      <c r="A133" s="2" t="n"/>
      <c r="B133" s="2" t="n"/>
      <c r="C133" s="2" t="n"/>
      <c r="D133" s="2" t="n"/>
      <c r="E133" s="2" t="n"/>
      <c r="F133" s="2" t="n"/>
      <c r="G133" s="3" t="n"/>
      <c r="H133" s="2" t="n"/>
      <c r="I133" s="4" t="n"/>
      <c r="J133" s="5">
        <f>IF(OR($I133="",$H133="Terminé"),"",$I133-TODAY())</f>
        <v/>
      </c>
      <c r="K133" s="2" t="n"/>
    </row>
    <row r="134">
      <c r="A134" s="2" t="n"/>
      <c r="B134" s="2" t="n"/>
      <c r="C134" s="2" t="n"/>
      <c r="D134" s="2" t="n"/>
      <c r="E134" s="2" t="n"/>
      <c r="F134" s="2" t="n"/>
      <c r="G134" s="3" t="n"/>
      <c r="H134" s="2" t="n"/>
      <c r="I134" s="4" t="n"/>
      <c r="J134" s="5">
        <f>IF(OR($I134="",$H134="Terminé"),"",$I134-TODAY())</f>
        <v/>
      </c>
      <c r="K134" s="2" t="n"/>
    </row>
    <row r="135">
      <c r="A135" s="2" t="n"/>
      <c r="B135" s="2" t="n"/>
      <c r="C135" s="2" t="n"/>
      <c r="D135" s="2" t="n"/>
      <c r="E135" s="2" t="n"/>
      <c r="F135" s="2" t="n"/>
      <c r="G135" s="3" t="n"/>
      <c r="H135" s="2" t="n"/>
      <c r="I135" s="4" t="n"/>
      <c r="J135" s="5">
        <f>IF(OR($I135="",$H135="Terminé"),"",$I135-TODAY())</f>
        <v/>
      </c>
      <c r="K135" s="2" t="n"/>
    </row>
    <row r="136">
      <c r="A136" s="2" t="n"/>
      <c r="B136" s="2" t="n"/>
      <c r="C136" s="2" t="n"/>
      <c r="D136" s="2" t="n"/>
      <c r="E136" s="2" t="n"/>
      <c r="F136" s="2" t="n"/>
      <c r="G136" s="3" t="n"/>
      <c r="H136" s="2" t="n"/>
      <c r="I136" s="4" t="n"/>
      <c r="J136" s="5">
        <f>IF(OR($I136="",$H136="Terminé"),"",$I136-TODAY())</f>
        <v/>
      </c>
      <c r="K136" s="2" t="n"/>
    </row>
    <row r="137">
      <c r="A137" s="2" t="n"/>
      <c r="B137" s="2" t="n"/>
      <c r="C137" s="2" t="n"/>
      <c r="D137" s="2" t="n"/>
      <c r="E137" s="2" t="n"/>
      <c r="F137" s="2" t="n"/>
      <c r="G137" s="3" t="n"/>
      <c r="H137" s="2" t="n"/>
      <c r="I137" s="4" t="n"/>
      <c r="J137" s="5">
        <f>IF(OR($I137="",$H137="Terminé"),"",$I137-TODAY())</f>
        <v/>
      </c>
      <c r="K137" s="2" t="n"/>
    </row>
    <row r="138">
      <c r="A138" s="2" t="n"/>
      <c r="B138" s="2" t="n"/>
      <c r="C138" s="2" t="n"/>
      <c r="D138" s="2" t="n"/>
      <c r="E138" s="2" t="n"/>
      <c r="F138" s="2" t="n"/>
      <c r="G138" s="3" t="n"/>
      <c r="H138" s="2" t="n"/>
      <c r="I138" s="4" t="n"/>
      <c r="J138" s="5">
        <f>IF(OR($I138="",$H138="Terminé"),"",$I138-TODAY())</f>
        <v/>
      </c>
      <c r="K138" s="2" t="n"/>
    </row>
    <row r="139">
      <c r="A139" s="2" t="n"/>
      <c r="B139" s="2" t="n"/>
      <c r="C139" s="2" t="n"/>
      <c r="D139" s="2" t="n"/>
      <c r="E139" s="2" t="n"/>
      <c r="F139" s="2" t="n"/>
      <c r="G139" s="3" t="n"/>
      <c r="H139" s="2" t="n"/>
      <c r="I139" s="4" t="n"/>
      <c r="J139" s="5">
        <f>IF(OR($I139="",$H139="Terminé"),"",$I139-TODAY())</f>
        <v/>
      </c>
      <c r="K139" s="2" t="n"/>
    </row>
    <row r="140">
      <c r="A140" s="2" t="n"/>
      <c r="B140" s="2" t="n"/>
      <c r="C140" s="2" t="n"/>
      <c r="D140" s="2" t="n"/>
      <c r="E140" s="2" t="n"/>
      <c r="F140" s="2" t="n"/>
      <c r="G140" s="3" t="n"/>
      <c r="H140" s="2" t="n"/>
      <c r="I140" s="4" t="n"/>
      <c r="J140" s="5">
        <f>IF(OR($I140="",$H140="Terminé"),"",$I140-TODAY())</f>
        <v/>
      </c>
      <c r="K140" s="2" t="n"/>
    </row>
    <row r="141">
      <c r="A141" s="2" t="n"/>
      <c r="B141" s="2" t="n"/>
      <c r="C141" s="2" t="n"/>
      <c r="D141" s="2" t="n"/>
      <c r="E141" s="2" t="n"/>
      <c r="F141" s="2" t="n"/>
      <c r="G141" s="3" t="n"/>
      <c r="H141" s="2" t="n"/>
      <c r="I141" s="4" t="n"/>
      <c r="J141" s="5">
        <f>IF(OR($I141="",$H141="Terminé"),"",$I141-TODAY())</f>
        <v/>
      </c>
      <c r="K141" s="2" t="n"/>
    </row>
    <row r="142">
      <c r="A142" s="2" t="n"/>
      <c r="B142" s="2" t="n"/>
      <c r="C142" s="2" t="n"/>
      <c r="D142" s="2" t="n"/>
      <c r="E142" s="2" t="n"/>
      <c r="F142" s="2" t="n"/>
      <c r="G142" s="3" t="n"/>
      <c r="H142" s="2" t="n"/>
      <c r="I142" s="4" t="n"/>
      <c r="J142" s="5">
        <f>IF(OR($I142="",$H142="Terminé"),"",$I142-TODAY())</f>
        <v/>
      </c>
      <c r="K142" s="2" t="n"/>
    </row>
    <row r="143">
      <c r="A143" s="2" t="n"/>
      <c r="B143" s="2" t="n"/>
      <c r="C143" s="2" t="n"/>
      <c r="D143" s="2" t="n"/>
      <c r="E143" s="2" t="n"/>
      <c r="F143" s="2" t="n"/>
      <c r="G143" s="3" t="n"/>
      <c r="H143" s="2" t="n"/>
      <c r="I143" s="4" t="n"/>
      <c r="J143" s="5">
        <f>IF(OR($I143="",$H143="Terminé"),"",$I143-TODAY())</f>
        <v/>
      </c>
      <c r="K143" s="2" t="n"/>
    </row>
    <row r="144">
      <c r="A144" s="2" t="n"/>
      <c r="B144" s="2" t="n"/>
      <c r="C144" s="2" t="n"/>
      <c r="D144" s="2" t="n"/>
      <c r="E144" s="2" t="n"/>
      <c r="F144" s="2" t="n"/>
      <c r="G144" s="3" t="n"/>
      <c r="H144" s="2" t="n"/>
      <c r="I144" s="4" t="n"/>
      <c r="J144" s="5">
        <f>IF(OR($I144="",$H144="Terminé"),"",$I144-TODAY())</f>
        <v/>
      </c>
      <c r="K144" s="2" t="n"/>
    </row>
    <row r="145">
      <c r="A145" s="2" t="n"/>
      <c r="B145" s="2" t="n"/>
      <c r="C145" s="2" t="n"/>
      <c r="D145" s="2" t="n"/>
      <c r="E145" s="2" t="n"/>
      <c r="F145" s="2" t="n"/>
      <c r="G145" s="3" t="n"/>
      <c r="H145" s="2" t="n"/>
      <c r="I145" s="4" t="n"/>
      <c r="J145" s="5">
        <f>IF(OR($I145="",$H145="Terminé"),"",$I145-TODAY())</f>
        <v/>
      </c>
      <c r="K145" s="2" t="n"/>
    </row>
    <row r="146">
      <c r="A146" s="2" t="n"/>
      <c r="B146" s="2" t="n"/>
      <c r="C146" s="2" t="n"/>
      <c r="D146" s="2" t="n"/>
      <c r="E146" s="2" t="n"/>
      <c r="F146" s="2" t="n"/>
      <c r="G146" s="3" t="n"/>
      <c r="H146" s="2" t="n"/>
      <c r="I146" s="4" t="n"/>
      <c r="J146" s="5">
        <f>IF(OR($I146="",$H146="Terminé"),"",$I146-TODAY())</f>
        <v/>
      </c>
      <c r="K146" s="2" t="n"/>
    </row>
    <row r="147">
      <c r="A147" s="2" t="n"/>
      <c r="B147" s="2" t="n"/>
      <c r="C147" s="2" t="n"/>
      <c r="D147" s="2" t="n"/>
      <c r="E147" s="2" t="n"/>
      <c r="F147" s="2" t="n"/>
      <c r="G147" s="3" t="n"/>
      <c r="H147" s="2" t="n"/>
      <c r="I147" s="4" t="n"/>
      <c r="J147" s="5">
        <f>IF(OR($I147="",$H147="Terminé"),"",$I147-TODAY())</f>
        <v/>
      </c>
      <c r="K147" s="2" t="n"/>
    </row>
    <row r="148">
      <c r="A148" s="2" t="n"/>
      <c r="B148" s="2" t="n"/>
      <c r="C148" s="2" t="n"/>
      <c r="D148" s="2" t="n"/>
      <c r="E148" s="2" t="n"/>
      <c r="F148" s="2" t="n"/>
      <c r="G148" s="3" t="n"/>
      <c r="H148" s="2" t="n"/>
      <c r="I148" s="4" t="n"/>
      <c r="J148" s="5">
        <f>IF(OR($I148="",$H148="Terminé"),"",$I148-TODAY())</f>
        <v/>
      </c>
      <c r="K148" s="2" t="n"/>
    </row>
    <row r="149">
      <c r="A149" s="2" t="n"/>
      <c r="B149" s="2" t="n"/>
      <c r="C149" s="2" t="n"/>
      <c r="D149" s="2" t="n"/>
      <c r="E149" s="2" t="n"/>
      <c r="F149" s="2" t="n"/>
      <c r="G149" s="3" t="n"/>
      <c r="H149" s="2" t="n"/>
      <c r="I149" s="4" t="n"/>
      <c r="J149" s="5">
        <f>IF(OR($I149="",$H149="Terminé"),"",$I149-TODAY())</f>
        <v/>
      </c>
      <c r="K149" s="2" t="n"/>
    </row>
    <row r="150">
      <c r="A150" s="2" t="n"/>
      <c r="B150" s="2" t="n"/>
      <c r="C150" s="2" t="n"/>
      <c r="D150" s="2" t="n"/>
      <c r="E150" s="2" t="n"/>
      <c r="F150" s="2" t="n"/>
      <c r="G150" s="3" t="n"/>
      <c r="H150" s="2" t="n"/>
      <c r="I150" s="4" t="n"/>
      <c r="J150" s="5">
        <f>IF(OR($I150="",$H150="Terminé"),"",$I150-TODAY())</f>
        <v/>
      </c>
      <c r="K150" s="2" t="n"/>
    </row>
    <row r="151">
      <c r="A151" s="2" t="n"/>
      <c r="B151" s="2" t="n"/>
      <c r="C151" s="2" t="n"/>
      <c r="D151" s="2" t="n"/>
      <c r="E151" s="2" t="n"/>
      <c r="F151" s="2" t="n"/>
      <c r="G151" s="3" t="n"/>
      <c r="H151" s="2" t="n"/>
      <c r="I151" s="4" t="n"/>
      <c r="J151" s="5">
        <f>IF(OR($I151="",$H151="Terminé"),"",$I151-TODAY())</f>
        <v/>
      </c>
      <c r="K151" s="2" t="n"/>
    </row>
    <row r="152">
      <c r="A152" s="2" t="n"/>
      <c r="B152" s="2" t="n"/>
      <c r="C152" s="2" t="n"/>
      <c r="D152" s="2" t="n"/>
      <c r="E152" s="2" t="n"/>
      <c r="F152" s="2" t="n"/>
      <c r="G152" s="3" t="n"/>
      <c r="H152" s="2" t="n"/>
      <c r="I152" s="4" t="n"/>
      <c r="J152" s="5">
        <f>IF(OR($I152="",$H152="Terminé"),"",$I152-TODAY())</f>
        <v/>
      </c>
      <c r="K152" s="2" t="n"/>
    </row>
    <row r="153">
      <c r="A153" s="2" t="n"/>
      <c r="B153" s="2" t="n"/>
      <c r="C153" s="2" t="n"/>
      <c r="D153" s="2" t="n"/>
      <c r="E153" s="2" t="n"/>
      <c r="F153" s="2" t="n"/>
      <c r="G153" s="3" t="n"/>
      <c r="H153" s="2" t="n"/>
      <c r="I153" s="4" t="n"/>
      <c r="J153" s="5">
        <f>IF(OR($I153="",$H153="Terminé"),"",$I153-TODAY())</f>
        <v/>
      </c>
      <c r="K153" s="2" t="n"/>
    </row>
    <row r="154">
      <c r="A154" s="2" t="n"/>
      <c r="B154" s="2" t="n"/>
      <c r="C154" s="2" t="n"/>
      <c r="D154" s="2" t="n"/>
      <c r="E154" s="2" t="n"/>
      <c r="F154" s="2" t="n"/>
      <c r="G154" s="3" t="n"/>
      <c r="H154" s="2" t="n"/>
      <c r="I154" s="4" t="n"/>
      <c r="J154" s="5">
        <f>IF(OR($I154="",$H154="Terminé"),"",$I154-TODAY())</f>
        <v/>
      </c>
      <c r="K154" s="2" t="n"/>
    </row>
    <row r="155">
      <c r="A155" s="2" t="n"/>
      <c r="B155" s="2" t="n"/>
      <c r="C155" s="2" t="n"/>
      <c r="D155" s="2" t="n"/>
      <c r="E155" s="2" t="n"/>
      <c r="F155" s="2" t="n"/>
      <c r="G155" s="3" t="n"/>
      <c r="H155" s="2" t="n"/>
      <c r="I155" s="4" t="n"/>
      <c r="J155" s="5">
        <f>IF(OR($I155="",$H155="Terminé"),"",$I155-TODAY())</f>
        <v/>
      </c>
      <c r="K155" s="2" t="n"/>
    </row>
    <row r="156">
      <c r="A156" s="2" t="n"/>
      <c r="B156" s="2" t="n"/>
      <c r="C156" s="2" t="n"/>
      <c r="D156" s="2" t="n"/>
      <c r="E156" s="2" t="n"/>
      <c r="F156" s="2" t="n"/>
      <c r="G156" s="3" t="n"/>
      <c r="H156" s="2" t="n"/>
      <c r="I156" s="4" t="n"/>
      <c r="J156" s="5">
        <f>IF(OR($I156="",$H156="Terminé"),"",$I156-TODAY())</f>
        <v/>
      </c>
      <c r="K156" s="2" t="n"/>
    </row>
    <row r="157">
      <c r="A157" s="2" t="n"/>
      <c r="B157" s="2" t="n"/>
      <c r="C157" s="2" t="n"/>
      <c r="D157" s="2" t="n"/>
      <c r="E157" s="2" t="n"/>
      <c r="F157" s="2" t="n"/>
      <c r="G157" s="3" t="n"/>
      <c r="H157" s="2" t="n"/>
      <c r="I157" s="4" t="n"/>
      <c r="J157" s="5">
        <f>IF(OR($I157="",$H157="Terminé"),"",$I157-TODAY())</f>
        <v/>
      </c>
      <c r="K157" s="2" t="n"/>
    </row>
    <row r="158">
      <c r="A158" s="2" t="n"/>
      <c r="B158" s="2" t="n"/>
      <c r="C158" s="2" t="n"/>
      <c r="D158" s="2" t="n"/>
      <c r="E158" s="2" t="n"/>
      <c r="F158" s="2" t="n"/>
      <c r="G158" s="3" t="n"/>
      <c r="H158" s="2" t="n"/>
      <c r="I158" s="4" t="n"/>
      <c r="J158" s="5">
        <f>IF(OR($I158="",$H158="Terminé"),"",$I158-TODAY())</f>
        <v/>
      </c>
      <c r="K158" s="2" t="n"/>
    </row>
    <row r="159">
      <c r="A159" s="2" t="n"/>
      <c r="B159" s="2" t="n"/>
      <c r="C159" s="2" t="n"/>
      <c r="D159" s="2" t="n"/>
      <c r="E159" s="2" t="n"/>
      <c r="F159" s="2" t="n"/>
      <c r="G159" s="3" t="n"/>
      <c r="H159" s="2" t="n"/>
      <c r="I159" s="4" t="n"/>
      <c r="J159" s="5">
        <f>IF(OR($I159="",$H159="Terminé"),"",$I159-TODAY())</f>
        <v/>
      </c>
      <c r="K159" s="2" t="n"/>
    </row>
    <row r="160">
      <c r="A160" s="2" t="n"/>
      <c r="B160" s="2" t="n"/>
      <c r="C160" s="2" t="n"/>
      <c r="D160" s="2" t="n"/>
      <c r="E160" s="2" t="n"/>
      <c r="F160" s="2" t="n"/>
      <c r="G160" s="3" t="n"/>
      <c r="H160" s="2" t="n"/>
      <c r="I160" s="4" t="n"/>
      <c r="J160" s="5">
        <f>IF(OR($I160="",$H160="Terminé"),"",$I160-TODAY())</f>
        <v/>
      </c>
      <c r="K160" s="2" t="n"/>
    </row>
    <row r="161">
      <c r="A161" s="2" t="n"/>
      <c r="B161" s="2" t="n"/>
      <c r="C161" s="2" t="n"/>
      <c r="D161" s="2" t="n"/>
      <c r="E161" s="2" t="n"/>
      <c r="F161" s="2" t="n"/>
      <c r="G161" s="3" t="n"/>
      <c r="H161" s="2" t="n"/>
      <c r="I161" s="4" t="n"/>
      <c r="J161" s="5">
        <f>IF(OR($I161="",$H161="Terminé"),"",$I161-TODAY())</f>
        <v/>
      </c>
      <c r="K161" s="2" t="n"/>
    </row>
    <row r="162">
      <c r="A162" s="2" t="n"/>
      <c r="B162" s="2" t="n"/>
      <c r="C162" s="2" t="n"/>
      <c r="D162" s="2" t="n"/>
      <c r="E162" s="2" t="n"/>
      <c r="F162" s="2" t="n"/>
      <c r="G162" s="3" t="n"/>
      <c r="H162" s="2" t="n"/>
      <c r="I162" s="4" t="n"/>
      <c r="J162" s="5">
        <f>IF(OR($I162="",$H162="Terminé"),"",$I162-TODAY())</f>
        <v/>
      </c>
      <c r="K162" s="2" t="n"/>
    </row>
    <row r="163">
      <c r="A163" s="2" t="n"/>
      <c r="B163" s="2" t="n"/>
      <c r="C163" s="2" t="n"/>
      <c r="D163" s="2" t="n"/>
      <c r="E163" s="2" t="n"/>
      <c r="F163" s="2" t="n"/>
      <c r="G163" s="3" t="n"/>
      <c r="H163" s="2" t="n"/>
      <c r="I163" s="4" t="n"/>
      <c r="J163" s="5">
        <f>IF(OR($I163="",$H163="Terminé"),"",$I163-TODAY())</f>
        <v/>
      </c>
      <c r="K163" s="2" t="n"/>
    </row>
    <row r="164">
      <c r="A164" s="2" t="n"/>
      <c r="B164" s="2" t="n"/>
      <c r="C164" s="2" t="n"/>
      <c r="D164" s="2" t="n"/>
      <c r="E164" s="2" t="n"/>
      <c r="F164" s="2" t="n"/>
      <c r="G164" s="3" t="n"/>
      <c r="H164" s="2" t="n"/>
      <c r="I164" s="4" t="n"/>
      <c r="J164" s="5">
        <f>IF(OR($I164="",$H164="Terminé"),"",$I164-TODAY())</f>
        <v/>
      </c>
      <c r="K164" s="2" t="n"/>
    </row>
    <row r="165">
      <c r="A165" s="2" t="n"/>
      <c r="B165" s="2" t="n"/>
      <c r="C165" s="2" t="n"/>
      <c r="D165" s="2" t="n"/>
      <c r="E165" s="2" t="n"/>
      <c r="F165" s="2" t="n"/>
      <c r="G165" s="3" t="n"/>
      <c r="H165" s="2" t="n"/>
      <c r="I165" s="4" t="n"/>
      <c r="J165" s="5">
        <f>IF(OR($I165="",$H165="Terminé"),"",$I165-TODAY())</f>
        <v/>
      </c>
      <c r="K165" s="2" t="n"/>
    </row>
    <row r="166">
      <c r="A166" s="2" t="n"/>
      <c r="B166" s="2" t="n"/>
      <c r="C166" s="2" t="n"/>
      <c r="D166" s="2" t="n"/>
      <c r="E166" s="2" t="n"/>
      <c r="F166" s="2" t="n"/>
      <c r="G166" s="3" t="n"/>
      <c r="H166" s="2" t="n"/>
      <c r="I166" s="4" t="n"/>
      <c r="J166" s="5">
        <f>IF(OR($I166="",$H166="Terminé"),"",$I166-TODAY())</f>
        <v/>
      </c>
      <c r="K166" s="2" t="n"/>
    </row>
    <row r="167">
      <c r="A167" s="2" t="n"/>
      <c r="B167" s="2" t="n"/>
      <c r="C167" s="2" t="n"/>
      <c r="D167" s="2" t="n"/>
      <c r="E167" s="2" t="n"/>
      <c r="F167" s="2" t="n"/>
      <c r="G167" s="3" t="n"/>
      <c r="H167" s="2" t="n"/>
      <c r="I167" s="4" t="n"/>
      <c r="J167" s="5">
        <f>IF(OR($I167="",$H167="Terminé"),"",$I167-TODAY())</f>
        <v/>
      </c>
      <c r="K167" s="2" t="n"/>
    </row>
    <row r="168">
      <c r="A168" s="2" t="n"/>
      <c r="B168" s="2" t="n"/>
      <c r="C168" s="2" t="n"/>
      <c r="D168" s="2" t="n"/>
      <c r="E168" s="2" t="n"/>
      <c r="F168" s="2" t="n"/>
      <c r="G168" s="3" t="n"/>
      <c r="H168" s="2" t="n"/>
      <c r="I168" s="4" t="n"/>
      <c r="J168" s="5">
        <f>IF(OR($I168="",$H168="Terminé"),"",$I168-TODAY())</f>
        <v/>
      </c>
      <c r="K168" s="2" t="n"/>
    </row>
    <row r="169">
      <c r="A169" s="2" t="n"/>
      <c r="B169" s="2" t="n"/>
      <c r="C169" s="2" t="n"/>
      <c r="D169" s="2" t="n"/>
      <c r="E169" s="2" t="n"/>
      <c r="F169" s="2" t="n"/>
      <c r="G169" s="3" t="n"/>
      <c r="H169" s="2" t="n"/>
      <c r="I169" s="4" t="n"/>
      <c r="J169" s="5">
        <f>IF(OR($I169="",$H169="Terminé"),"",$I169-TODAY())</f>
        <v/>
      </c>
      <c r="K169" s="2" t="n"/>
    </row>
    <row r="170">
      <c r="A170" s="2" t="n"/>
      <c r="B170" s="2" t="n"/>
      <c r="C170" s="2" t="n"/>
      <c r="D170" s="2" t="n"/>
      <c r="E170" s="2" t="n"/>
      <c r="F170" s="2" t="n"/>
      <c r="G170" s="3" t="n"/>
      <c r="H170" s="2" t="n"/>
      <c r="I170" s="4" t="n"/>
      <c r="J170" s="5">
        <f>IF(OR($I170="",$H170="Terminé"),"",$I170-TODAY())</f>
        <v/>
      </c>
      <c r="K170" s="2" t="n"/>
    </row>
    <row r="171">
      <c r="A171" s="2" t="n"/>
      <c r="B171" s="2" t="n"/>
      <c r="C171" s="2" t="n"/>
      <c r="D171" s="2" t="n"/>
      <c r="E171" s="2" t="n"/>
      <c r="F171" s="2" t="n"/>
      <c r="G171" s="3" t="n"/>
      <c r="H171" s="2" t="n"/>
      <c r="I171" s="4" t="n"/>
      <c r="J171" s="5">
        <f>IF(OR($I171="",$H171="Terminé"),"",$I171-TODAY())</f>
        <v/>
      </c>
      <c r="K171" s="2" t="n"/>
    </row>
    <row r="172">
      <c r="A172" s="2" t="n"/>
      <c r="B172" s="2" t="n"/>
      <c r="C172" s="2" t="n"/>
      <c r="D172" s="2" t="n"/>
      <c r="E172" s="2" t="n"/>
      <c r="F172" s="2" t="n"/>
      <c r="G172" s="3" t="n"/>
      <c r="H172" s="2" t="n"/>
      <c r="I172" s="4" t="n"/>
      <c r="J172" s="5">
        <f>IF(OR($I172="",$H172="Terminé"),"",$I172-TODAY())</f>
        <v/>
      </c>
      <c r="K172" s="2" t="n"/>
    </row>
    <row r="173">
      <c r="A173" s="2" t="n"/>
      <c r="B173" s="2" t="n"/>
      <c r="C173" s="2" t="n"/>
      <c r="D173" s="2" t="n"/>
      <c r="E173" s="2" t="n"/>
      <c r="F173" s="2" t="n"/>
      <c r="G173" s="3" t="n"/>
      <c r="H173" s="2" t="n"/>
      <c r="I173" s="4" t="n"/>
      <c r="J173" s="5">
        <f>IF(OR($I173="",$H173="Terminé"),"",$I173-TODAY())</f>
        <v/>
      </c>
      <c r="K173" s="2" t="n"/>
    </row>
    <row r="174">
      <c r="A174" s="2" t="n"/>
      <c r="B174" s="2" t="n"/>
      <c r="C174" s="2" t="n"/>
      <c r="D174" s="2" t="n"/>
      <c r="E174" s="2" t="n"/>
      <c r="F174" s="2" t="n"/>
      <c r="G174" s="3" t="n"/>
      <c r="H174" s="2" t="n"/>
      <c r="I174" s="4" t="n"/>
      <c r="J174" s="5">
        <f>IF(OR($I174="",$H174="Terminé"),"",$I174-TODAY())</f>
        <v/>
      </c>
      <c r="K174" s="2" t="n"/>
    </row>
    <row r="175">
      <c r="A175" s="2" t="n"/>
      <c r="B175" s="2" t="n"/>
      <c r="C175" s="2" t="n"/>
      <c r="D175" s="2" t="n"/>
      <c r="E175" s="2" t="n"/>
      <c r="F175" s="2" t="n"/>
      <c r="G175" s="3" t="n"/>
      <c r="H175" s="2" t="n"/>
      <c r="I175" s="4" t="n"/>
      <c r="J175" s="5">
        <f>IF(OR($I175="",$H175="Terminé"),"",$I175-TODAY())</f>
        <v/>
      </c>
      <c r="K175" s="2" t="n"/>
    </row>
    <row r="176">
      <c r="A176" s="2" t="n"/>
      <c r="B176" s="2" t="n"/>
      <c r="C176" s="2" t="n"/>
      <c r="D176" s="2" t="n"/>
      <c r="E176" s="2" t="n"/>
      <c r="F176" s="2" t="n"/>
      <c r="G176" s="3" t="n"/>
      <c r="H176" s="2" t="n"/>
      <c r="I176" s="4" t="n"/>
      <c r="J176" s="5">
        <f>IF(OR($I176="",$H176="Terminé"),"",$I176-TODAY())</f>
        <v/>
      </c>
      <c r="K176" s="2" t="n"/>
    </row>
    <row r="177">
      <c r="A177" s="2" t="n"/>
      <c r="B177" s="2" t="n"/>
      <c r="C177" s="2" t="n"/>
      <c r="D177" s="2" t="n"/>
      <c r="E177" s="2" t="n"/>
      <c r="F177" s="2" t="n"/>
      <c r="G177" s="3" t="n"/>
      <c r="H177" s="2" t="n"/>
      <c r="I177" s="4" t="n"/>
      <c r="J177" s="5">
        <f>IF(OR($I177="",$H177="Terminé"),"",$I177-TODAY())</f>
        <v/>
      </c>
      <c r="K177" s="2" t="n"/>
    </row>
    <row r="178">
      <c r="A178" s="2" t="n"/>
      <c r="B178" s="2" t="n"/>
      <c r="C178" s="2" t="n"/>
      <c r="D178" s="2" t="n"/>
      <c r="E178" s="2" t="n"/>
      <c r="F178" s="2" t="n"/>
      <c r="G178" s="3" t="n"/>
      <c r="H178" s="2" t="n"/>
      <c r="I178" s="4" t="n"/>
      <c r="J178" s="5">
        <f>IF(OR($I178="",$H178="Terminé"),"",$I178-TODAY())</f>
        <v/>
      </c>
      <c r="K178" s="2" t="n"/>
    </row>
    <row r="179">
      <c r="A179" s="2" t="n"/>
      <c r="B179" s="2" t="n"/>
      <c r="C179" s="2" t="n"/>
      <c r="D179" s="2" t="n"/>
      <c r="E179" s="2" t="n"/>
      <c r="F179" s="2" t="n"/>
      <c r="G179" s="3" t="n"/>
      <c r="H179" s="2" t="n"/>
      <c r="I179" s="4" t="n"/>
      <c r="J179" s="5">
        <f>IF(OR($I179="",$H179="Terminé"),"",$I179-TODAY())</f>
        <v/>
      </c>
      <c r="K179" s="2" t="n"/>
    </row>
    <row r="180">
      <c r="A180" s="2" t="n"/>
      <c r="B180" s="2" t="n"/>
      <c r="C180" s="2" t="n"/>
      <c r="D180" s="2" t="n"/>
      <c r="E180" s="2" t="n"/>
      <c r="F180" s="2" t="n"/>
      <c r="G180" s="3" t="n"/>
      <c r="H180" s="2" t="n"/>
      <c r="I180" s="4" t="n"/>
      <c r="J180" s="5">
        <f>IF(OR($I180="",$H180="Terminé"),"",$I180-TODAY())</f>
        <v/>
      </c>
      <c r="K180" s="2" t="n"/>
    </row>
    <row r="181">
      <c r="A181" s="2" t="n"/>
      <c r="B181" s="2" t="n"/>
      <c r="C181" s="2" t="n"/>
      <c r="D181" s="2" t="n"/>
      <c r="E181" s="2" t="n"/>
      <c r="F181" s="2" t="n"/>
      <c r="G181" s="3" t="n"/>
      <c r="H181" s="2" t="n"/>
      <c r="I181" s="4" t="n"/>
      <c r="J181" s="5">
        <f>IF(OR($I181="",$H181="Terminé"),"",$I181-TODAY())</f>
        <v/>
      </c>
      <c r="K181" s="2" t="n"/>
    </row>
    <row r="182">
      <c r="A182" s="2" t="n"/>
      <c r="B182" s="2" t="n"/>
      <c r="C182" s="2" t="n"/>
      <c r="D182" s="2" t="n"/>
      <c r="E182" s="2" t="n"/>
      <c r="F182" s="2" t="n"/>
      <c r="G182" s="3" t="n"/>
      <c r="H182" s="2" t="n"/>
      <c r="I182" s="4" t="n"/>
      <c r="J182" s="5">
        <f>IF(OR($I182="",$H182="Terminé"),"",$I182-TODAY())</f>
        <v/>
      </c>
      <c r="K182" s="2" t="n"/>
    </row>
    <row r="183">
      <c r="A183" s="2" t="n"/>
      <c r="B183" s="2" t="n"/>
      <c r="C183" s="2" t="n"/>
      <c r="D183" s="2" t="n"/>
      <c r="E183" s="2" t="n"/>
      <c r="F183" s="2" t="n"/>
      <c r="G183" s="3" t="n"/>
      <c r="H183" s="2" t="n"/>
      <c r="I183" s="4" t="n"/>
      <c r="J183" s="5">
        <f>IF(OR($I183="",$H183="Terminé"),"",$I183-TODAY())</f>
        <v/>
      </c>
      <c r="K183" s="2" t="n"/>
    </row>
    <row r="184">
      <c r="A184" s="2" t="n"/>
      <c r="B184" s="2" t="n"/>
      <c r="C184" s="2" t="n"/>
      <c r="D184" s="2" t="n"/>
      <c r="E184" s="2" t="n"/>
      <c r="F184" s="2" t="n"/>
      <c r="G184" s="3" t="n"/>
      <c r="H184" s="2" t="n"/>
      <c r="I184" s="4" t="n"/>
      <c r="J184" s="5">
        <f>IF(OR($I184="",$H184="Terminé"),"",$I184-TODAY())</f>
        <v/>
      </c>
      <c r="K184" s="2" t="n"/>
    </row>
    <row r="185">
      <c r="A185" s="2" t="n"/>
      <c r="B185" s="2" t="n"/>
      <c r="C185" s="2" t="n"/>
      <c r="D185" s="2" t="n"/>
      <c r="E185" s="2" t="n"/>
      <c r="F185" s="2" t="n"/>
      <c r="G185" s="3" t="n"/>
      <c r="H185" s="2" t="n"/>
      <c r="I185" s="4" t="n"/>
      <c r="J185" s="5">
        <f>IF(OR($I185="",$H185="Terminé"),"",$I185-TODAY())</f>
        <v/>
      </c>
      <c r="K185" s="2" t="n"/>
    </row>
    <row r="186">
      <c r="A186" s="2" t="n"/>
      <c r="B186" s="2" t="n"/>
      <c r="C186" s="2" t="n"/>
      <c r="D186" s="2" t="n"/>
      <c r="E186" s="2" t="n"/>
      <c r="F186" s="2" t="n"/>
      <c r="G186" s="3" t="n"/>
      <c r="H186" s="2" t="n"/>
      <c r="I186" s="4" t="n"/>
      <c r="J186" s="5">
        <f>IF(OR($I186="",$H186="Terminé"),"",$I186-TODAY())</f>
        <v/>
      </c>
      <c r="K186" s="2" t="n"/>
    </row>
    <row r="187">
      <c r="A187" s="2" t="n"/>
      <c r="B187" s="2" t="n"/>
      <c r="C187" s="2" t="n"/>
      <c r="D187" s="2" t="n"/>
      <c r="E187" s="2" t="n"/>
      <c r="F187" s="2" t="n"/>
      <c r="G187" s="3" t="n"/>
      <c r="H187" s="2" t="n"/>
      <c r="I187" s="4" t="n"/>
      <c r="J187" s="5">
        <f>IF(OR($I187="",$H187="Terminé"),"",$I187-TODAY())</f>
        <v/>
      </c>
      <c r="K187" s="2" t="n"/>
    </row>
    <row r="188">
      <c r="A188" s="2" t="n"/>
      <c r="B188" s="2" t="n"/>
      <c r="C188" s="2" t="n"/>
      <c r="D188" s="2" t="n"/>
      <c r="E188" s="2" t="n"/>
      <c r="F188" s="2" t="n"/>
      <c r="G188" s="3" t="n"/>
      <c r="H188" s="2" t="n"/>
      <c r="I188" s="4" t="n"/>
      <c r="J188" s="5">
        <f>IF(OR($I188="",$H188="Terminé"),"",$I188-TODAY())</f>
        <v/>
      </c>
      <c r="K188" s="2" t="n"/>
    </row>
    <row r="189">
      <c r="A189" s="2" t="n"/>
      <c r="B189" s="2" t="n"/>
      <c r="C189" s="2" t="n"/>
      <c r="D189" s="2" t="n"/>
      <c r="E189" s="2" t="n"/>
      <c r="F189" s="2" t="n"/>
      <c r="G189" s="3" t="n"/>
      <c r="H189" s="2" t="n"/>
      <c r="I189" s="4" t="n"/>
      <c r="J189" s="5">
        <f>IF(OR($I189="",$H189="Terminé"),"",$I189-TODAY())</f>
        <v/>
      </c>
      <c r="K189" s="2" t="n"/>
    </row>
    <row r="190">
      <c r="A190" s="2" t="n"/>
      <c r="B190" s="2" t="n"/>
      <c r="C190" s="2" t="n"/>
      <c r="D190" s="2" t="n"/>
      <c r="E190" s="2" t="n"/>
      <c r="F190" s="2" t="n"/>
      <c r="G190" s="3" t="n"/>
      <c r="H190" s="2" t="n"/>
      <c r="I190" s="4" t="n"/>
      <c r="J190" s="5">
        <f>IF(OR($I190="",$H190="Terminé"),"",$I190-TODAY())</f>
        <v/>
      </c>
      <c r="K190" s="2" t="n"/>
    </row>
    <row r="191">
      <c r="A191" s="2" t="n"/>
      <c r="B191" s="2" t="n"/>
      <c r="C191" s="2" t="n"/>
      <c r="D191" s="2" t="n"/>
      <c r="E191" s="2" t="n"/>
      <c r="F191" s="2" t="n"/>
      <c r="G191" s="3" t="n"/>
      <c r="H191" s="2" t="n"/>
      <c r="I191" s="4" t="n"/>
      <c r="J191" s="5">
        <f>IF(OR($I191="",$H191="Terminé"),"",$I191-TODAY())</f>
        <v/>
      </c>
      <c r="K191" s="2" t="n"/>
    </row>
    <row r="192">
      <c r="A192" s="2" t="n"/>
      <c r="B192" s="2" t="n"/>
      <c r="C192" s="2" t="n"/>
      <c r="D192" s="2" t="n"/>
      <c r="E192" s="2" t="n"/>
      <c r="F192" s="2" t="n"/>
      <c r="G192" s="3" t="n"/>
      <c r="H192" s="2" t="n"/>
      <c r="I192" s="4" t="n"/>
      <c r="J192" s="5">
        <f>IF(OR($I192="",$H192="Terminé"),"",$I192-TODAY())</f>
        <v/>
      </c>
      <c r="K192" s="2" t="n"/>
    </row>
    <row r="193">
      <c r="A193" s="2" t="n"/>
      <c r="B193" s="2" t="n"/>
      <c r="C193" s="2" t="n"/>
      <c r="D193" s="2" t="n"/>
      <c r="E193" s="2" t="n"/>
      <c r="F193" s="2" t="n"/>
      <c r="G193" s="3" t="n"/>
      <c r="H193" s="2" t="n"/>
      <c r="I193" s="4" t="n"/>
      <c r="J193" s="5">
        <f>IF(OR($I193="",$H193="Terminé"),"",$I193-TODAY())</f>
        <v/>
      </c>
      <c r="K193" s="2" t="n"/>
    </row>
    <row r="194">
      <c r="A194" s="2" t="n"/>
      <c r="B194" s="2" t="n"/>
      <c r="C194" s="2" t="n"/>
      <c r="D194" s="2" t="n"/>
      <c r="E194" s="2" t="n"/>
      <c r="F194" s="2" t="n"/>
      <c r="G194" s="3" t="n"/>
      <c r="H194" s="2" t="n"/>
      <c r="I194" s="4" t="n"/>
      <c r="J194" s="5">
        <f>IF(OR($I194="",$H194="Terminé"),"",$I194-TODAY())</f>
        <v/>
      </c>
      <c r="K194" s="2" t="n"/>
    </row>
    <row r="195">
      <c r="A195" s="2" t="n"/>
      <c r="B195" s="2" t="n"/>
      <c r="C195" s="2" t="n"/>
      <c r="D195" s="2" t="n"/>
      <c r="E195" s="2" t="n"/>
      <c r="F195" s="2" t="n"/>
      <c r="G195" s="3" t="n"/>
      <c r="H195" s="2" t="n"/>
      <c r="I195" s="4" t="n"/>
      <c r="J195" s="5">
        <f>IF(OR($I195="",$H195="Terminé"),"",$I195-TODAY())</f>
        <v/>
      </c>
      <c r="K195" s="2" t="n"/>
    </row>
    <row r="196">
      <c r="A196" s="2" t="n"/>
      <c r="B196" s="2" t="n"/>
      <c r="C196" s="2" t="n"/>
      <c r="D196" s="2" t="n"/>
      <c r="E196" s="2" t="n"/>
      <c r="F196" s="2" t="n"/>
      <c r="G196" s="3" t="n"/>
      <c r="H196" s="2" t="n"/>
      <c r="I196" s="4" t="n"/>
      <c r="J196" s="5">
        <f>IF(OR($I196="",$H196="Terminé"),"",$I196-TODAY())</f>
        <v/>
      </c>
      <c r="K196" s="2" t="n"/>
    </row>
    <row r="197">
      <c r="A197" s="2" t="n"/>
      <c r="B197" s="2" t="n"/>
      <c r="C197" s="2" t="n"/>
      <c r="D197" s="2" t="n"/>
      <c r="E197" s="2" t="n"/>
      <c r="F197" s="2" t="n"/>
      <c r="G197" s="3" t="n"/>
      <c r="H197" s="2" t="n"/>
      <c r="I197" s="4" t="n"/>
      <c r="J197" s="5">
        <f>IF(OR($I197="",$H197="Terminé"),"",$I197-TODAY())</f>
        <v/>
      </c>
      <c r="K197" s="2" t="n"/>
    </row>
    <row r="198">
      <c r="A198" s="2" t="n"/>
      <c r="B198" s="2" t="n"/>
      <c r="C198" s="2" t="n"/>
      <c r="D198" s="2" t="n"/>
      <c r="E198" s="2" t="n"/>
      <c r="F198" s="2" t="n"/>
      <c r="G198" s="3" t="n"/>
      <c r="H198" s="2" t="n"/>
      <c r="I198" s="4" t="n"/>
      <c r="J198" s="5">
        <f>IF(OR($I198="",$H198="Terminé"),"",$I198-TODAY())</f>
        <v/>
      </c>
      <c r="K198" s="2" t="n"/>
    </row>
    <row r="199">
      <c r="A199" s="2" t="n"/>
      <c r="B199" s="2" t="n"/>
      <c r="C199" s="2" t="n"/>
      <c r="D199" s="2" t="n"/>
      <c r="E199" s="2" t="n"/>
      <c r="F199" s="2" t="n"/>
      <c r="G199" s="3" t="n"/>
      <c r="H199" s="2" t="n"/>
      <c r="I199" s="4" t="n"/>
      <c r="J199" s="5">
        <f>IF(OR($I199="",$H199="Terminé"),"",$I199-TODAY())</f>
        <v/>
      </c>
      <c r="K199" s="2" t="n"/>
    </row>
    <row r="200">
      <c r="A200" s="2" t="n"/>
      <c r="B200" s="2" t="n"/>
      <c r="C200" s="2" t="n"/>
      <c r="D200" s="2" t="n"/>
      <c r="E200" s="2" t="n"/>
      <c r="F200" s="2" t="n"/>
      <c r="G200" s="3" t="n"/>
      <c r="H200" s="2" t="n"/>
      <c r="I200" s="4" t="n"/>
      <c r="J200" s="5">
        <f>IF(OR($I200="",$H200="Terminé"),"",$I200-TODAY())</f>
        <v/>
      </c>
      <c r="K200" s="2" t="n"/>
    </row>
    <row r="201">
      <c r="A201" s="2" t="n"/>
      <c r="B201" s="2" t="n"/>
      <c r="C201" s="2" t="n"/>
      <c r="D201" s="2" t="n"/>
      <c r="E201" s="2" t="n"/>
      <c r="F201" s="2" t="n"/>
      <c r="G201" s="3" t="n"/>
      <c r="H201" s="2" t="n"/>
      <c r="I201" s="4" t="n"/>
      <c r="J201" s="5">
        <f>IF(OR($I201="",$H201="Terminé"),"",$I201-TODAY())</f>
        <v/>
      </c>
      <c r="K201" s="2" t="n"/>
    </row>
    <row r="202">
      <c r="A202" s="2" t="n"/>
      <c r="B202" s="2" t="n"/>
      <c r="C202" s="2" t="n"/>
      <c r="D202" s="2" t="n"/>
      <c r="E202" s="2" t="n"/>
      <c r="F202" s="2" t="n"/>
      <c r="G202" s="3" t="n"/>
      <c r="H202" s="2" t="n"/>
      <c r="I202" s="4" t="n"/>
      <c r="J202" s="5">
        <f>IF(OR($I202="",$H202="Terminé"),"",$I202-TODAY())</f>
        <v/>
      </c>
      <c r="K202" s="2" t="n"/>
    </row>
    <row r="203">
      <c r="A203" s="2" t="n"/>
      <c r="B203" s="2" t="n"/>
      <c r="C203" s="2" t="n"/>
      <c r="D203" s="2" t="n"/>
      <c r="E203" s="2" t="n"/>
      <c r="F203" s="2" t="n"/>
      <c r="G203" s="3" t="n"/>
      <c r="H203" s="2" t="n"/>
      <c r="I203" s="4" t="n"/>
      <c r="J203" s="5">
        <f>IF(OR($I203="",$H203="Terminé"),"",$I203-TODAY())</f>
        <v/>
      </c>
      <c r="K203" s="2" t="n"/>
    </row>
    <row r="204">
      <c r="A204" s="2" t="n"/>
      <c r="B204" s="2" t="n"/>
      <c r="C204" s="2" t="n"/>
      <c r="D204" s="2" t="n"/>
      <c r="E204" s="2" t="n"/>
      <c r="F204" s="2" t="n"/>
      <c r="G204" s="3" t="n"/>
      <c r="H204" s="2" t="n"/>
      <c r="I204" s="4" t="n"/>
      <c r="J204" s="5">
        <f>IF(OR($I204="",$H204="Terminé"),"",$I204-TODAY())</f>
        <v/>
      </c>
      <c r="K204" s="2" t="n"/>
    </row>
    <row r="205">
      <c r="A205" s="2" t="n"/>
      <c r="B205" s="2" t="n"/>
      <c r="C205" s="2" t="n"/>
      <c r="D205" s="2" t="n"/>
      <c r="E205" s="2" t="n"/>
      <c r="F205" s="2" t="n"/>
      <c r="G205" s="3" t="n"/>
      <c r="H205" s="2" t="n"/>
      <c r="I205" s="4" t="n"/>
      <c r="J205" s="5">
        <f>IF(OR($I205="",$H205="Terminé"),"",$I205-TODAY())</f>
        <v/>
      </c>
      <c r="K205" s="2" t="n"/>
    </row>
    <row r="206">
      <c r="A206" s="2" t="n"/>
      <c r="B206" s="2" t="n"/>
      <c r="C206" s="2" t="n"/>
      <c r="D206" s="2" t="n"/>
      <c r="E206" s="2" t="n"/>
      <c r="F206" s="2" t="n"/>
      <c r="G206" s="3" t="n"/>
      <c r="H206" s="2" t="n"/>
      <c r="I206" s="4" t="n"/>
      <c r="J206" s="5">
        <f>IF(OR($I206="",$H206="Terminé"),"",$I206-TODAY())</f>
        <v/>
      </c>
      <c r="K206" s="2" t="n"/>
    </row>
    <row r="207">
      <c r="A207" s="2" t="n"/>
      <c r="B207" s="2" t="n"/>
      <c r="C207" s="2" t="n"/>
      <c r="D207" s="2" t="n"/>
      <c r="E207" s="2" t="n"/>
      <c r="F207" s="2" t="n"/>
      <c r="G207" s="3" t="n"/>
      <c r="H207" s="2" t="n"/>
      <c r="I207" s="4" t="n"/>
      <c r="J207" s="5">
        <f>IF(OR($I207="",$H207="Terminé"),"",$I207-TODAY())</f>
        <v/>
      </c>
      <c r="K207" s="2" t="n"/>
    </row>
    <row r="208">
      <c r="A208" s="2" t="n"/>
      <c r="B208" s="2" t="n"/>
      <c r="C208" s="2" t="n"/>
      <c r="D208" s="2" t="n"/>
      <c r="E208" s="2" t="n"/>
      <c r="F208" s="2" t="n"/>
      <c r="G208" s="3" t="n"/>
      <c r="H208" s="2" t="n"/>
      <c r="I208" s="4" t="n"/>
      <c r="J208" s="5">
        <f>IF(OR($I208="",$H208="Terminé"),"",$I208-TODAY())</f>
        <v/>
      </c>
      <c r="K208" s="2" t="n"/>
    </row>
    <row r="209">
      <c r="A209" s="2" t="n"/>
      <c r="B209" s="2" t="n"/>
      <c r="C209" s="2" t="n"/>
      <c r="D209" s="2" t="n"/>
      <c r="E209" s="2" t="n"/>
      <c r="F209" s="2" t="n"/>
      <c r="G209" s="3" t="n"/>
      <c r="H209" s="2" t="n"/>
      <c r="I209" s="4" t="n"/>
      <c r="J209" s="5">
        <f>IF(OR($I209="",$H209="Terminé"),"",$I209-TODAY())</f>
        <v/>
      </c>
      <c r="K209" s="2" t="n"/>
    </row>
    <row r="210">
      <c r="A210" s="2" t="n"/>
      <c r="B210" s="2" t="n"/>
      <c r="C210" s="2" t="n"/>
      <c r="D210" s="2" t="n"/>
      <c r="E210" s="2" t="n"/>
      <c r="F210" s="2" t="n"/>
      <c r="G210" s="3" t="n"/>
      <c r="H210" s="2" t="n"/>
      <c r="I210" s="4" t="n"/>
      <c r="J210" s="5">
        <f>IF(OR($I210="",$H210="Terminé"),"",$I210-TODAY())</f>
        <v/>
      </c>
      <c r="K210" s="2" t="n"/>
    </row>
    <row r="211">
      <c r="A211" s="2" t="n"/>
      <c r="B211" s="2" t="n"/>
      <c r="C211" s="2" t="n"/>
      <c r="D211" s="2" t="n"/>
      <c r="E211" s="2" t="n"/>
      <c r="F211" s="2" t="n"/>
      <c r="G211" s="3" t="n"/>
      <c r="H211" s="2" t="n"/>
      <c r="I211" s="4" t="n"/>
      <c r="J211" s="5">
        <f>IF(OR($I211="",$H211="Terminé"),"",$I211-TODAY())</f>
        <v/>
      </c>
      <c r="K211" s="2" t="n"/>
    </row>
    <row r="212">
      <c r="A212" s="2" t="n"/>
      <c r="B212" s="2" t="n"/>
      <c r="C212" s="2" t="n"/>
      <c r="D212" s="2" t="n"/>
      <c r="E212" s="2" t="n"/>
      <c r="F212" s="2" t="n"/>
      <c r="G212" s="3" t="n"/>
      <c r="H212" s="2" t="n"/>
      <c r="I212" s="4" t="n"/>
      <c r="J212" s="5">
        <f>IF(OR($I212="",$H212="Terminé"),"",$I212-TODAY())</f>
        <v/>
      </c>
      <c r="K212" s="2" t="n"/>
    </row>
    <row r="213">
      <c r="A213" s="2" t="n"/>
      <c r="B213" s="2" t="n"/>
      <c r="C213" s="2" t="n"/>
      <c r="D213" s="2" t="n"/>
      <c r="E213" s="2" t="n"/>
      <c r="F213" s="2" t="n"/>
      <c r="G213" s="3" t="n"/>
      <c r="H213" s="2" t="n"/>
      <c r="I213" s="4" t="n"/>
      <c r="J213" s="5">
        <f>IF(OR($I213="",$H213="Terminé"),"",$I213-TODAY())</f>
        <v/>
      </c>
      <c r="K213" s="2" t="n"/>
    </row>
    <row r="214">
      <c r="A214" s="2" t="n"/>
      <c r="B214" s="2" t="n"/>
      <c r="C214" s="2" t="n"/>
      <c r="D214" s="2" t="n"/>
      <c r="E214" s="2" t="n"/>
      <c r="F214" s="2" t="n"/>
      <c r="G214" s="3" t="n"/>
      <c r="H214" s="2" t="n"/>
      <c r="I214" s="4" t="n"/>
      <c r="J214" s="5">
        <f>IF(OR($I214="",$H214="Terminé"),"",$I214-TODAY())</f>
        <v/>
      </c>
      <c r="K214" s="2" t="n"/>
    </row>
    <row r="215">
      <c r="A215" s="2" t="n"/>
      <c r="B215" s="2" t="n"/>
      <c r="C215" s="2" t="n"/>
      <c r="D215" s="2" t="n"/>
      <c r="E215" s="2" t="n"/>
      <c r="F215" s="2" t="n"/>
      <c r="G215" s="3" t="n"/>
      <c r="H215" s="2" t="n"/>
      <c r="I215" s="4" t="n"/>
      <c r="J215" s="5">
        <f>IF(OR($I215="",$H215="Terminé"),"",$I215-TODAY())</f>
        <v/>
      </c>
      <c r="K215" s="2" t="n"/>
    </row>
    <row r="216">
      <c r="A216" s="2" t="n"/>
      <c r="B216" s="2" t="n"/>
      <c r="C216" s="2" t="n"/>
      <c r="D216" s="2" t="n"/>
      <c r="E216" s="2" t="n"/>
      <c r="F216" s="2" t="n"/>
      <c r="G216" s="3" t="n"/>
      <c r="H216" s="2" t="n"/>
      <c r="I216" s="4" t="n"/>
      <c r="J216" s="5">
        <f>IF(OR($I216="",$H216="Terminé"),"",$I216-TODAY())</f>
        <v/>
      </c>
      <c r="K216" s="2" t="n"/>
    </row>
    <row r="217">
      <c r="A217" s="2" t="n"/>
      <c r="B217" s="2" t="n"/>
      <c r="C217" s="2" t="n"/>
      <c r="D217" s="2" t="n"/>
      <c r="E217" s="2" t="n"/>
      <c r="F217" s="2" t="n"/>
      <c r="G217" s="3" t="n"/>
      <c r="H217" s="2" t="n"/>
      <c r="I217" s="4" t="n"/>
      <c r="J217" s="5">
        <f>IF(OR($I217="",$H217="Terminé"),"",$I217-TODAY())</f>
        <v/>
      </c>
      <c r="K217" s="2" t="n"/>
    </row>
    <row r="218">
      <c r="A218" s="2" t="n"/>
      <c r="B218" s="2" t="n"/>
      <c r="C218" s="2" t="n"/>
      <c r="D218" s="2" t="n"/>
      <c r="E218" s="2" t="n"/>
      <c r="F218" s="2" t="n"/>
      <c r="G218" s="3" t="n"/>
      <c r="H218" s="2" t="n"/>
      <c r="I218" s="4" t="n"/>
      <c r="J218" s="5">
        <f>IF(OR($I218="",$H218="Terminé"),"",$I218-TODAY())</f>
        <v/>
      </c>
      <c r="K218" s="2" t="n"/>
    </row>
    <row r="219">
      <c r="A219" s="2" t="n"/>
      <c r="B219" s="2" t="n"/>
      <c r="C219" s="2" t="n"/>
      <c r="D219" s="2" t="n"/>
      <c r="E219" s="2" t="n"/>
      <c r="F219" s="2" t="n"/>
      <c r="G219" s="3" t="n"/>
      <c r="H219" s="2" t="n"/>
      <c r="I219" s="4" t="n"/>
      <c r="J219" s="5">
        <f>IF(OR($I219="",$H219="Terminé"),"",$I219-TODAY())</f>
        <v/>
      </c>
      <c r="K219" s="2" t="n"/>
    </row>
    <row r="220">
      <c r="A220" s="2" t="n"/>
      <c r="B220" s="2" t="n"/>
      <c r="C220" s="2" t="n"/>
      <c r="D220" s="2" t="n"/>
      <c r="E220" s="2" t="n"/>
      <c r="F220" s="2" t="n"/>
      <c r="G220" s="3" t="n"/>
      <c r="H220" s="2" t="n"/>
      <c r="I220" s="4" t="n"/>
      <c r="J220" s="5">
        <f>IF(OR($I220="",$H220="Terminé"),"",$I220-TODAY())</f>
        <v/>
      </c>
      <c r="K220" s="2" t="n"/>
    </row>
    <row r="221">
      <c r="A221" s="2" t="n"/>
      <c r="B221" s="2" t="n"/>
      <c r="C221" s="2" t="n"/>
      <c r="D221" s="2" t="n"/>
      <c r="E221" s="2" t="n"/>
      <c r="F221" s="2" t="n"/>
      <c r="G221" s="3" t="n"/>
      <c r="H221" s="2" t="n"/>
      <c r="I221" s="4" t="n"/>
      <c r="J221" s="5">
        <f>IF(OR($I221="",$H221="Terminé"),"",$I221-TODAY())</f>
        <v/>
      </c>
      <c r="K221" s="2" t="n"/>
    </row>
    <row r="222">
      <c r="A222" s="2" t="n"/>
      <c r="B222" s="2" t="n"/>
      <c r="C222" s="2" t="n"/>
      <c r="D222" s="2" t="n"/>
      <c r="E222" s="2" t="n"/>
      <c r="F222" s="2" t="n"/>
      <c r="G222" s="3" t="n"/>
      <c r="H222" s="2" t="n"/>
      <c r="I222" s="4" t="n"/>
      <c r="J222" s="5">
        <f>IF(OR($I222="",$H222="Terminé"),"",$I222-TODAY())</f>
        <v/>
      </c>
      <c r="K222" s="2" t="n"/>
    </row>
    <row r="223">
      <c r="A223" s="2" t="n"/>
      <c r="B223" s="2" t="n"/>
      <c r="C223" s="2" t="n"/>
      <c r="D223" s="2" t="n"/>
      <c r="E223" s="2" t="n"/>
      <c r="F223" s="2" t="n"/>
      <c r="G223" s="3" t="n"/>
      <c r="H223" s="2" t="n"/>
      <c r="I223" s="4" t="n"/>
      <c r="J223" s="5">
        <f>IF(OR($I223="",$H223="Terminé"),"",$I223-TODAY())</f>
        <v/>
      </c>
      <c r="K223" s="2" t="n"/>
    </row>
    <row r="224">
      <c r="A224" s="2" t="n"/>
      <c r="B224" s="2" t="n"/>
      <c r="C224" s="2" t="n"/>
      <c r="D224" s="2" t="n"/>
      <c r="E224" s="2" t="n"/>
      <c r="F224" s="2" t="n"/>
      <c r="G224" s="3" t="n"/>
      <c r="H224" s="2" t="n"/>
      <c r="I224" s="4" t="n"/>
      <c r="J224" s="5">
        <f>IF(OR($I224="",$H224="Terminé"),"",$I224-TODAY())</f>
        <v/>
      </c>
      <c r="K224" s="2" t="n"/>
    </row>
    <row r="225">
      <c r="A225" s="2" t="n"/>
      <c r="B225" s="2" t="n"/>
      <c r="C225" s="2" t="n"/>
      <c r="D225" s="2" t="n"/>
      <c r="E225" s="2" t="n"/>
      <c r="F225" s="2" t="n"/>
      <c r="G225" s="3" t="n"/>
      <c r="H225" s="2" t="n"/>
      <c r="I225" s="4" t="n"/>
      <c r="J225" s="5">
        <f>IF(OR($I225="",$H225="Terminé"),"",$I225-TODAY())</f>
        <v/>
      </c>
      <c r="K225" s="2" t="n"/>
    </row>
    <row r="226">
      <c r="A226" s="2" t="n"/>
      <c r="B226" s="2" t="n"/>
      <c r="C226" s="2" t="n"/>
      <c r="D226" s="2" t="n"/>
      <c r="E226" s="2" t="n"/>
      <c r="F226" s="2" t="n"/>
      <c r="G226" s="3" t="n"/>
      <c r="H226" s="2" t="n"/>
      <c r="I226" s="4" t="n"/>
      <c r="J226" s="5">
        <f>IF(OR($I226="",$H226="Terminé"),"",$I226-TODAY())</f>
        <v/>
      </c>
      <c r="K226" s="2" t="n"/>
    </row>
    <row r="227">
      <c r="A227" s="2" t="n"/>
      <c r="B227" s="2" t="n"/>
      <c r="C227" s="2" t="n"/>
      <c r="D227" s="2" t="n"/>
      <c r="E227" s="2" t="n"/>
      <c r="F227" s="2" t="n"/>
      <c r="G227" s="3" t="n"/>
      <c r="H227" s="2" t="n"/>
      <c r="I227" s="4" t="n"/>
      <c r="J227" s="5">
        <f>IF(OR($I227="",$H227="Terminé"),"",$I227-TODAY())</f>
        <v/>
      </c>
      <c r="K227" s="2" t="n"/>
    </row>
    <row r="228">
      <c r="A228" s="2" t="n"/>
      <c r="B228" s="2" t="n"/>
      <c r="C228" s="2" t="n"/>
      <c r="D228" s="2" t="n"/>
      <c r="E228" s="2" t="n"/>
      <c r="F228" s="2" t="n"/>
      <c r="G228" s="3" t="n"/>
      <c r="H228" s="2" t="n"/>
      <c r="I228" s="4" t="n"/>
      <c r="J228" s="5">
        <f>IF(OR($I228="",$H228="Terminé"),"",$I228-TODAY())</f>
        <v/>
      </c>
      <c r="K228" s="2" t="n"/>
    </row>
    <row r="229">
      <c r="A229" s="2" t="n"/>
      <c r="B229" s="2" t="n"/>
      <c r="C229" s="2" t="n"/>
      <c r="D229" s="2" t="n"/>
      <c r="E229" s="2" t="n"/>
      <c r="F229" s="2" t="n"/>
      <c r="G229" s="3" t="n"/>
      <c r="H229" s="2" t="n"/>
      <c r="I229" s="4" t="n"/>
      <c r="J229" s="5">
        <f>IF(OR($I229="",$H229="Terminé"),"",$I229-TODAY())</f>
        <v/>
      </c>
      <c r="K229" s="2" t="n"/>
    </row>
    <row r="230">
      <c r="A230" s="2" t="n"/>
      <c r="B230" s="2" t="n"/>
      <c r="C230" s="2" t="n"/>
      <c r="D230" s="2" t="n"/>
      <c r="E230" s="2" t="n"/>
      <c r="F230" s="2" t="n"/>
      <c r="G230" s="3" t="n"/>
      <c r="H230" s="2" t="n"/>
      <c r="I230" s="4" t="n"/>
      <c r="J230" s="5">
        <f>IF(OR($I230="",$H230="Terminé"),"",$I230-TODAY())</f>
        <v/>
      </c>
      <c r="K230" s="2" t="n"/>
    </row>
    <row r="231">
      <c r="A231" s="2" t="n"/>
      <c r="B231" s="2" t="n"/>
      <c r="C231" s="2" t="n"/>
      <c r="D231" s="2" t="n"/>
      <c r="E231" s="2" t="n"/>
      <c r="F231" s="2" t="n"/>
      <c r="G231" s="3" t="n"/>
      <c r="H231" s="2" t="n"/>
      <c r="I231" s="4" t="n"/>
      <c r="J231" s="5">
        <f>IF(OR($I231="",$H231="Terminé"),"",$I231-TODAY())</f>
        <v/>
      </c>
      <c r="K231" s="2" t="n"/>
    </row>
    <row r="232">
      <c r="A232" s="2" t="n"/>
      <c r="B232" s="2" t="n"/>
      <c r="C232" s="2" t="n"/>
      <c r="D232" s="2" t="n"/>
      <c r="E232" s="2" t="n"/>
      <c r="F232" s="2" t="n"/>
      <c r="G232" s="3" t="n"/>
      <c r="H232" s="2" t="n"/>
      <c r="I232" s="4" t="n"/>
      <c r="J232" s="5">
        <f>IF(OR($I232="",$H232="Terminé"),"",$I232-TODAY())</f>
        <v/>
      </c>
      <c r="K232" s="2" t="n"/>
    </row>
    <row r="233">
      <c r="A233" s="2" t="n"/>
      <c r="B233" s="2" t="n"/>
      <c r="C233" s="2" t="n"/>
      <c r="D233" s="2" t="n"/>
      <c r="E233" s="2" t="n"/>
      <c r="F233" s="2" t="n"/>
      <c r="G233" s="3" t="n"/>
      <c r="H233" s="2" t="n"/>
      <c r="I233" s="4" t="n"/>
      <c r="J233" s="5">
        <f>IF(OR($I233="",$H233="Terminé"),"",$I233-TODAY())</f>
        <v/>
      </c>
      <c r="K233" s="2" t="n"/>
    </row>
    <row r="234">
      <c r="A234" s="2" t="n"/>
      <c r="B234" s="2" t="n"/>
      <c r="C234" s="2" t="n"/>
      <c r="D234" s="2" t="n"/>
      <c r="E234" s="2" t="n"/>
      <c r="F234" s="2" t="n"/>
      <c r="G234" s="3" t="n"/>
      <c r="H234" s="2" t="n"/>
      <c r="I234" s="4" t="n"/>
      <c r="J234" s="5">
        <f>IF(OR($I234="",$H234="Terminé"),"",$I234-TODAY())</f>
        <v/>
      </c>
      <c r="K234" s="2" t="n"/>
    </row>
    <row r="235">
      <c r="A235" s="2" t="n"/>
      <c r="B235" s="2" t="n"/>
      <c r="C235" s="2" t="n"/>
      <c r="D235" s="2" t="n"/>
      <c r="E235" s="2" t="n"/>
      <c r="F235" s="2" t="n"/>
      <c r="G235" s="3" t="n"/>
      <c r="H235" s="2" t="n"/>
      <c r="I235" s="4" t="n"/>
      <c r="J235" s="5">
        <f>IF(OR($I235="",$H235="Terminé"),"",$I235-TODAY())</f>
        <v/>
      </c>
      <c r="K235" s="2" t="n"/>
    </row>
    <row r="236">
      <c r="A236" s="2" t="n"/>
      <c r="B236" s="2" t="n"/>
      <c r="C236" s="2" t="n"/>
      <c r="D236" s="2" t="n"/>
      <c r="E236" s="2" t="n"/>
      <c r="F236" s="2" t="n"/>
      <c r="G236" s="3" t="n"/>
      <c r="H236" s="2" t="n"/>
      <c r="I236" s="4" t="n"/>
      <c r="J236" s="5">
        <f>IF(OR($I236="",$H236="Terminé"),"",$I236-TODAY())</f>
        <v/>
      </c>
      <c r="K236" s="2" t="n"/>
    </row>
    <row r="237">
      <c r="A237" s="2" t="n"/>
      <c r="B237" s="2" t="n"/>
      <c r="C237" s="2" t="n"/>
      <c r="D237" s="2" t="n"/>
      <c r="E237" s="2" t="n"/>
      <c r="F237" s="2" t="n"/>
      <c r="G237" s="3" t="n"/>
      <c r="H237" s="2" t="n"/>
      <c r="I237" s="4" t="n"/>
      <c r="J237" s="5">
        <f>IF(OR($I237="",$H237="Terminé"),"",$I237-TODAY())</f>
        <v/>
      </c>
      <c r="K237" s="2" t="n"/>
    </row>
    <row r="238">
      <c r="A238" s="2" t="n"/>
      <c r="B238" s="2" t="n"/>
      <c r="C238" s="2" t="n"/>
      <c r="D238" s="2" t="n"/>
      <c r="E238" s="2" t="n"/>
      <c r="F238" s="2" t="n"/>
      <c r="G238" s="3" t="n"/>
      <c r="H238" s="2" t="n"/>
      <c r="I238" s="4" t="n"/>
      <c r="J238" s="5">
        <f>IF(OR($I238="",$H238="Terminé"),"",$I238-TODAY())</f>
        <v/>
      </c>
      <c r="K238" s="2" t="n"/>
    </row>
    <row r="239">
      <c r="A239" s="2" t="n"/>
      <c r="B239" s="2" t="n"/>
      <c r="C239" s="2" t="n"/>
      <c r="D239" s="2" t="n"/>
      <c r="E239" s="2" t="n"/>
      <c r="F239" s="2" t="n"/>
      <c r="G239" s="3" t="n"/>
      <c r="H239" s="2" t="n"/>
      <c r="I239" s="4" t="n"/>
      <c r="J239" s="5">
        <f>IF(OR($I239="",$H239="Terminé"),"",$I239-TODAY())</f>
        <v/>
      </c>
      <c r="K239" s="2" t="n"/>
    </row>
    <row r="240">
      <c r="A240" s="2" t="n"/>
      <c r="B240" s="2" t="n"/>
      <c r="C240" s="2" t="n"/>
      <c r="D240" s="2" t="n"/>
      <c r="E240" s="2" t="n"/>
      <c r="F240" s="2" t="n"/>
      <c r="G240" s="3" t="n"/>
      <c r="H240" s="2" t="n"/>
      <c r="I240" s="4" t="n"/>
      <c r="J240" s="5">
        <f>IF(OR($I240="",$H240="Terminé"),"",$I240-TODAY())</f>
        <v/>
      </c>
      <c r="K240" s="2" t="n"/>
    </row>
    <row r="241">
      <c r="A241" s="2" t="n"/>
      <c r="B241" s="2" t="n"/>
      <c r="C241" s="2" t="n"/>
      <c r="D241" s="2" t="n"/>
      <c r="E241" s="2" t="n"/>
      <c r="F241" s="2" t="n"/>
      <c r="G241" s="3" t="n"/>
      <c r="H241" s="2" t="n"/>
      <c r="I241" s="4" t="n"/>
      <c r="J241" s="5">
        <f>IF(OR($I241="",$H241="Terminé"),"",$I241-TODAY())</f>
        <v/>
      </c>
      <c r="K241" s="2" t="n"/>
    </row>
    <row r="242">
      <c r="A242" s="2" t="n"/>
      <c r="B242" s="2" t="n"/>
      <c r="C242" s="2" t="n"/>
      <c r="D242" s="2" t="n"/>
      <c r="E242" s="2" t="n"/>
      <c r="F242" s="2" t="n"/>
      <c r="G242" s="3" t="n"/>
      <c r="H242" s="2" t="n"/>
      <c r="I242" s="4" t="n"/>
      <c r="J242" s="5">
        <f>IF(OR($I242="",$H242="Terminé"),"",$I242-TODAY())</f>
        <v/>
      </c>
      <c r="K242" s="2" t="n"/>
    </row>
    <row r="243">
      <c r="A243" s="2" t="n"/>
      <c r="B243" s="2" t="n"/>
      <c r="C243" s="2" t="n"/>
      <c r="D243" s="2" t="n"/>
      <c r="E243" s="2" t="n"/>
      <c r="F243" s="2" t="n"/>
      <c r="G243" s="3" t="n"/>
      <c r="H243" s="2" t="n"/>
      <c r="I243" s="4" t="n"/>
      <c r="J243" s="5">
        <f>IF(OR($I243="",$H243="Terminé"),"",$I243-TODAY())</f>
        <v/>
      </c>
      <c r="K243" s="2" t="n"/>
    </row>
    <row r="244">
      <c r="A244" s="2" t="n"/>
      <c r="B244" s="2" t="n"/>
      <c r="C244" s="2" t="n"/>
      <c r="D244" s="2" t="n"/>
      <c r="E244" s="2" t="n"/>
      <c r="F244" s="2" t="n"/>
      <c r="G244" s="3" t="n"/>
      <c r="H244" s="2" t="n"/>
      <c r="I244" s="4" t="n"/>
      <c r="J244" s="5">
        <f>IF(OR($I244="",$H244="Terminé"),"",$I244-TODAY())</f>
        <v/>
      </c>
      <c r="K244" s="2" t="n"/>
    </row>
    <row r="245">
      <c r="A245" s="2" t="n"/>
      <c r="B245" s="2" t="n"/>
      <c r="C245" s="2" t="n"/>
      <c r="D245" s="2" t="n"/>
      <c r="E245" s="2" t="n"/>
      <c r="F245" s="2" t="n"/>
      <c r="G245" s="3" t="n"/>
      <c r="H245" s="2" t="n"/>
      <c r="I245" s="4" t="n"/>
      <c r="J245" s="5">
        <f>IF(OR($I245="",$H245="Terminé"),"",$I245-TODAY())</f>
        <v/>
      </c>
      <c r="K245" s="2" t="n"/>
    </row>
    <row r="246">
      <c r="A246" s="2" t="n"/>
      <c r="B246" s="2" t="n"/>
      <c r="C246" s="2" t="n"/>
      <c r="D246" s="2" t="n"/>
      <c r="E246" s="2" t="n"/>
      <c r="F246" s="2" t="n"/>
      <c r="G246" s="3" t="n"/>
      <c r="H246" s="2" t="n"/>
      <c r="I246" s="4" t="n"/>
      <c r="J246" s="5">
        <f>IF(OR($I246="",$H246="Terminé"),"",$I246-TODAY())</f>
        <v/>
      </c>
      <c r="K246" s="2" t="n"/>
    </row>
    <row r="247">
      <c r="A247" s="2" t="n"/>
      <c r="B247" s="2" t="n"/>
      <c r="C247" s="2" t="n"/>
      <c r="D247" s="2" t="n"/>
      <c r="E247" s="2" t="n"/>
      <c r="F247" s="2" t="n"/>
      <c r="G247" s="3" t="n"/>
      <c r="H247" s="2" t="n"/>
      <c r="I247" s="4" t="n"/>
      <c r="J247" s="5">
        <f>IF(OR($I247="",$H247="Terminé"),"",$I247-TODAY())</f>
        <v/>
      </c>
      <c r="K247" s="2" t="n"/>
    </row>
    <row r="248">
      <c r="A248" s="2" t="n"/>
      <c r="B248" s="2" t="n"/>
      <c r="C248" s="2" t="n"/>
      <c r="D248" s="2" t="n"/>
      <c r="E248" s="2" t="n"/>
      <c r="F248" s="2" t="n"/>
      <c r="G248" s="3" t="n"/>
      <c r="H248" s="2" t="n"/>
      <c r="I248" s="4" t="n"/>
      <c r="J248" s="5">
        <f>IF(OR($I248="",$H248="Terminé"),"",$I248-TODAY())</f>
        <v/>
      </c>
      <c r="K248" s="2" t="n"/>
    </row>
    <row r="249">
      <c r="A249" s="2" t="n"/>
      <c r="B249" s="2" t="n"/>
      <c r="C249" s="2" t="n"/>
      <c r="D249" s="2" t="n"/>
      <c r="E249" s="2" t="n"/>
      <c r="F249" s="2" t="n"/>
      <c r="G249" s="3" t="n"/>
      <c r="H249" s="2" t="n"/>
      <c r="I249" s="4" t="n"/>
      <c r="J249" s="5">
        <f>IF(OR($I249="",$H249="Terminé"),"",$I249-TODAY())</f>
        <v/>
      </c>
      <c r="K249" s="2" t="n"/>
    </row>
    <row r="250">
      <c r="A250" s="2" t="n"/>
      <c r="B250" s="2" t="n"/>
      <c r="C250" s="2" t="n"/>
      <c r="D250" s="2" t="n"/>
      <c r="E250" s="2" t="n"/>
      <c r="F250" s="2" t="n"/>
      <c r="G250" s="3" t="n"/>
      <c r="H250" s="2" t="n"/>
      <c r="I250" s="4" t="n"/>
      <c r="J250" s="5">
        <f>IF(OR($I250="",$H250="Terminé"),"",$I250-TODAY())</f>
        <v/>
      </c>
      <c r="K250" s="2" t="n"/>
    </row>
    <row r="251">
      <c r="A251" s="2" t="n"/>
      <c r="B251" s="2" t="n"/>
      <c r="C251" s="2" t="n"/>
      <c r="D251" s="2" t="n"/>
      <c r="E251" s="2" t="n"/>
      <c r="F251" s="2" t="n"/>
      <c r="G251" s="3" t="n"/>
      <c r="H251" s="2" t="n"/>
      <c r="I251" s="4" t="n"/>
      <c r="J251" s="5">
        <f>IF(OR($I251="",$H251="Terminé"),"",$I251-TODAY())</f>
        <v/>
      </c>
      <c r="K251" s="2" t="n"/>
    </row>
    <row r="252">
      <c r="A252" s="2" t="n"/>
      <c r="B252" s="2" t="n"/>
      <c r="C252" s="2" t="n"/>
      <c r="D252" s="2" t="n"/>
      <c r="E252" s="2" t="n"/>
      <c r="F252" s="2" t="n"/>
      <c r="G252" s="3" t="n"/>
      <c r="H252" s="2" t="n"/>
      <c r="I252" s="4" t="n"/>
      <c r="J252" s="5">
        <f>IF(OR($I252="",$H252="Terminé"),"",$I252-TODAY())</f>
        <v/>
      </c>
      <c r="K252" s="2" t="n"/>
    </row>
    <row r="253">
      <c r="A253" s="2" t="n"/>
      <c r="B253" s="2" t="n"/>
      <c r="C253" s="2" t="n"/>
      <c r="D253" s="2" t="n"/>
      <c r="E253" s="2" t="n"/>
      <c r="F253" s="2" t="n"/>
      <c r="G253" s="3" t="n"/>
      <c r="H253" s="2" t="n"/>
      <c r="I253" s="4" t="n"/>
      <c r="J253" s="5">
        <f>IF(OR($I253="",$H253="Terminé"),"",$I253-TODAY())</f>
        <v/>
      </c>
      <c r="K253" s="2" t="n"/>
    </row>
    <row r="254">
      <c r="A254" s="2" t="n"/>
      <c r="B254" s="2" t="n"/>
      <c r="C254" s="2" t="n"/>
      <c r="D254" s="2" t="n"/>
      <c r="E254" s="2" t="n"/>
      <c r="F254" s="2" t="n"/>
      <c r="G254" s="3" t="n"/>
      <c r="H254" s="2" t="n"/>
      <c r="I254" s="4" t="n"/>
      <c r="J254" s="5">
        <f>IF(OR($I254="",$H254="Terminé"),"",$I254-TODAY())</f>
        <v/>
      </c>
      <c r="K254" s="2" t="n"/>
    </row>
    <row r="255">
      <c r="A255" s="2" t="n"/>
      <c r="B255" s="2" t="n"/>
      <c r="C255" s="2" t="n"/>
      <c r="D255" s="2" t="n"/>
      <c r="E255" s="2" t="n"/>
      <c r="F255" s="2" t="n"/>
      <c r="G255" s="3" t="n"/>
      <c r="H255" s="2" t="n"/>
      <c r="I255" s="4" t="n"/>
      <c r="J255" s="5">
        <f>IF(OR($I255="",$H255="Terminé"),"",$I255-TODAY())</f>
        <v/>
      </c>
      <c r="K255" s="2" t="n"/>
    </row>
    <row r="256">
      <c r="A256" s="2" t="n"/>
      <c r="B256" s="2" t="n"/>
      <c r="C256" s="2" t="n"/>
      <c r="D256" s="2" t="n"/>
      <c r="E256" s="2" t="n"/>
      <c r="F256" s="2" t="n"/>
      <c r="G256" s="3" t="n"/>
      <c r="H256" s="2" t="n"/>
      <c r="I256" s="4" t="n"/>
      <c r="J256" s="5">
        <f>IF(OR($I256="",$H256="Terminé"),"",$I256-TODAY())</f>
        <v/>
      </c>
      <c r="K256" s="2" t="n"/>
    </row>
    <row r="257">
      <c r="A257" s="2" t="n"/>
      <c r="B257" s="2" t="n"/>
      <c r="C257" s="2" t="n"/>
      <c r="D257" s="2" t="n"/>
      <c r="E257" s="2" t="n"/>
      <c r="F257" s="2" t="n"/>
      <c r="G257" s="3" t="n"/>
      <c r="H257" s="2" t="n"/>
      <c r="I257" s="4" t="n"/>
      <c r="J257" s="5">
        <f>IF(OR($I257="",$H257="Terminé"),"",$I257-TODAY())</f>
        <v/>
      </c>
      <c r="K257" s="2" t="n"/>
    </row>
    <row r="258">
      <c r="A258" s="2" t="n"/>
      <c r="B258" s="2" t="n"/>
      <c r="C258" s="2" t="n"/>
      <c r="D258" s="2" t="n"/>
      <c r="E258" s="2" t="n"/>
      <c r="F258" s="2" t="n"/>
      <c r="G258" s="3" t="n"/>
      <c r="H258" s="2" t="n"/>
      <c r="I258" s="4" t="n"/>
      <c r="J258" s="5">
        <f>IF(OR($I258="",$H258="Terminé"),"",$I258-TODAY())</f>
        <v/>
      </c>
      <c r="K258" s="2" t="n"/>
    </row>
    <row r="259">
      <c r="A259" s="2" t="n"/>
      <c r="B259" s="2" t="n"/>
      <c r="C259" s="2" t="n"/>
      <c r="D259" s="2" t="n"/>
      <c r="E259" s="2" t="n"/>
      <c r="F259" s="2" t="n"/>
      <c r="G259" s="3" t="n"/>
      <c r="H259" s="2" t="n"/>
      <c r="I259" s="4" t="n"/>
      <c r="J259" s="5">
        <f>IF(OR($I259="",$H259="Terminé"),"",$I259-TODAY())</f>
        <v/>
      </c>
      <c r="K259" s="2" t="n"/>
    </row>
    <row r="260">
      <c r="A260" s="2" t="n"/>
      <c r="B260" s="2" t="n"/>
      <c r="C260" s="2" t="n"/>
      <c r="D260" s="2" t="n"/>
      <c r="E260" s="2" t="n"/>
      <c r="F260" s="2" t="n"/>
      <c r="G260" s="3" t="n"/>
      <c r="H260" s="2" t="n"/>
      <c r="I260" s="4" t="n"/>
      <c r="J260" s="5">
        <f>IF(OR($I260="",$H260="Terminé"),"",$I260-TODAY())</f>
        <v/>
      </c>
      <c r="K260" s="2" t="n"/>
    </row>
    <row r="261">
      <c r="A261" s="2" t="n"/>
      <c r="B261" s="2" t="n"/>
      <c r="C261" s="2" t="n"/>
      <c r="D261" s="2" t="n"/>
      <c r="E261" s="2" t="n"/>
      <c r="F261" s="2" t="n"/>
      <c r="G261" s="3" t="n"/>
      <c r="H261" s="2" t="n"/>
      <c r="I261" s="4" t="n"/>
      <c r="J261" s="5">
        <f>IF(OR($I261="",$H261="Terminé"),"",$I261-TODAY())</f>
        <v/>
      </c>
      <c r="K261" s="2" t="n"/>
    </row>
    <row r="262">
      <c r="A262" s="2" t="n"/>
      <c r="B262" s="2" t="n"/>
      <c r="C262" s="2" t="n"/>
      <c r="D262" s="2" t="n"/>
      <c r="E262" s="2" t="n"/>
      <c r="F262" s="2" t="n"/>
      <c r="G262" s="3" t="n"/>
      <c r="H262" s="2" t="n"/>
      <c r="I262" s="4" t="n"/>
      <c r="J262" s="5">
        <f>IF(OR($I262="",$H262="Terminé"),"",$I262-TODAY())</f>
        <v/>
      </c>
      <c r="K262" s="2" t="n"/>
    </row>
    <row r="263">
      <c r="A263" s="2" t="n"/>
      <c r="B263" s="2" t="n"/>
      <c r="C263" s="2" t="n"/>
      <c r="D263" s="2" t="n"/>
      <c r="E263" s="2" t="n"/>
      <c r="F263" s="2" t="n"/>
      <c r="G263" s="3" t="n"/>
      <c r="H263" s="2" t="n"/>
      <c r="I263" s="4" t="n"/>
      <c r="J263" s="5">
        <f>IF(OR($I263="",$H263="Terminé"),"",$I263-TODAY())</f>
        <v/>
      </c>
      <c r="K263" s="2" t="n"/>
    </row>
    <row r="264">
      <c r="A264" s="2" t="n"/>
      <c r="B264" s="2" t="n"/>
      <c r="C264" s="2" t="n"/>
      <c r="D264" s="2" t="n"/>
      <c r="E264" s="2" t="n"/>
      <c r="F264" s="2" t="n"/>
      <c r="G264" s="3" t="n"/>
      <c r="H264" s="2" t="n"/>
      <c r="I264" s="4" t="n"/>
      <c r="J264" s="5">
        <f>IF(OR($I264="",$H264="Terminé"),"",$I264-TODAY())</f>
        <v/>
      </c>
      <c r="K264" s="2" t="n"/>
    </row>
    <row r="265">
      <c r="A265" s="2" t="n"/>
      <c r="B265" s="2" t="n"/>
      <c r="C265" s="2" t="n"/>
      <c r="D265" s="2" t="n"/>
      <c r="E265" s="2" t="n"/>
      <c r="F265" s="2" t="n"/>
      <c r="G265" s="3" t="n"/>
      <c r="H265" s="2" t="n"/>
      <c r="I265" s="4" t="n"/>
      <c r="J265" s="5">
        <f>IF(OR($I265="",$H265="Terminé"),"",$I265-TODAY())</f>
        <v/>
      </c>
      <c r="K265" s="2" t="n"/>
    </row>
    <row r="266">
      <c r="A266" s="2" t="n"/>
      <c r="B266" s="2" t="n"/>
      <c r="C266" s="2" t="n"/>
      <c r="D266" s="2" t="n"/>
      <c r="E266" s="2" t="n"/>
      <c r="F266" s="2" t="n"/>
      <c r="G266" s="3" t="n"/>
      <c r="H266" s="2" t="n"/>
      <c r="I266" s="4" t="n"/>
      <c r="J266" s="5">
        <f>IF(OR($I266="",$H266="Terminé"),"",$I266-TODAY())</f>
        <v/>
      </c>
      <c r="K266" s="2" t="n"/>
    </row>
    <row r="267">
      <c r="A267" s="2" t="n"/>
      <c r="B267" s="2" t="n"/>
      <c r="C267" s="2" t="n"/>
      <c r="D267" s="2" t="n"/>
      <c r="E267" s="2" t="n"/>
      <c r="F267" s="2" t="n"/>
      <c r="G267" s="3" t="n"/>
      <c r="H267" s="2" t="n"/>
      <c r="I267" s="4" t="n"/>
      <c r="J267" s="5">
        <f>IF(OR($I267="",$H267="Terminé"),"",$I267-TODAY())</f>
        <v/>
      </c>
      <c r="K267" s="2" t="n"/>
    </row>
    <row r="268">
      <c r="A268" s="2" t="n"/>
      <c r="B268" s="2" t="n"/>
      <c r="C268" s="2" t="n"/>
      <c r="D268" s="2" t="n"/>
      <c r="E268" s="2" t="n"/>
      <c r="F268" s="2" t="n"/>
      <c r="G268" s="3" t="n"/>
      <c r="H268" s="2" t="n"/>
      <c r="I268" s="4" t="n"/>
      <c r="J268" s="5">
        <f>IF(OR($I268="",$H268="Terminé"),"",$I268-TODAY())</f>
        <v/>
      </c>
      <c r="K268" s="2" t="n"/>
    </row>
    <row r="269">
      <c r="A269" s="2" t="n"/>
      <c r="B269" s="2" t="n"/>
      <c r="C269" s="2" t="n"/>
      <c r="D269" s="2" t="n"/>
      <c r="E269" s="2" t="n"/>
      <c r="F269" s="2" t="n"/>
      <c r="G269" s="3" t="n"/>
      <c r="H269" s="2" t="n"/>
      <c r="I269" s="4" t="n"/>
      <c r="J269" s="5">
        <f>IF(OR($I269="",$H269="Terminé"),"",$I269-TODAY())</f>
        <v/>
      </c>
      <c r="K269" s="2" t="n"/>
    </row>
    <row r="270">
      <c r="A270" s="2" t="n"/>
      <c r="B270" s="2" t="n"/>
      <c r="C270" s="2" t="n"/>
      <c r="D270" s="2" t="n"/>
      <c r="E270" s="2" t="n"/>
      <c r="F270" s="2" t="n"/>
      <c r="G270" s="3" t="n"/>
      <c r="H270" s="2" t="n"/>
      <c r="I270" s="4" t="n"/>
      <c r="J270" s="5">
        <f>IF(OR($I270="",$H270="Terminé"),"",$I270-TODAY())</f>
        <v/>
      </c>
      <c r="K270" s="2" t="n"/>
    </row>
    <row r="271">
      <c r="A271" s="2" t="n"/>
      <c r="B271" s="2" t="n"/>
      <c r="C271" s="2" t="n"/>
      <c r="D271" s="2" t="n"/>
      <c r="E271" s="2" t="n"/>
      <c r="F271" s="2" t="n"/>
      <c r="G271" s="3" t="n"/>
      <c r="H271" s="2" t="n"/>
      <c r="I271" s="4" t="n"/>
      <c r="J271" s="5">
        <f>IF(OR($I271="",$H271="Terminé"),"",$I271-TODAY())</f>
        <v/>
      </c>
      <c r="K271" s="2" t="n"/>
    </row>
    <row r="272">
      <c r="A272" s="2" t="n"/>
      <c r="B272" s="2" t="n"/>
      <c r="C272" s="2" t="n"/>
      <c r="D272" s="2" t="n"/>
      <c r="E272" s="2" t="n"/>
      <c r="F272" s="2" t="n"/>
      <c r="G272" s="3" t="n"/>
      <c r="H272" s="2" t="n"/>
      <c r="I272" s="4" t="n"/>
      <c r="J272" s="5">
        <f>IF(OR($I272="",$H272="Terminé"),"",$I272-TODAY())</f>
        <v/>
      </c>
      <c r="K272" s="2" t="n"/>
    </row>
    <row r="273">
      <c r="A273" s="2" t="n"/>
      <c r="B273" s="2" t="n"/>
      <c r="C273" s="2" t="n"/>
      <c r="D273" s="2" t="n"/>
      <c r="E273" s="2" t="n"/>
      <c r="F273" s="2" t="n"/>
      <c r="G273" s="3" t="n"/>
      <c r="H273" s="2" t="n"/>
      <c r="I273" s="4" t="n"/>
      <c r="J273" s="5">
        <f>IF(OR($I273="",$H273="Terminé"),"",$I273-TODAY())</f>
        <v/>
      </c>
      <c r="K273" s="2" t="n"/>
    </row>
    <row r="274">
      <c r="A274" s="2" t="n"/>
      <c r="B274" s="2" t="n"/>
      <c r="C274" s="2" t="n"/>
      <c r="D274" s="2" t="n"/>
      <c r="E274" s="2" t="n"/>
      <c r="F274" s="2" t="n"/>
      <c r="G274" s="3" t="n"/>
      <c r="H274" s="2" t="n"/>
      <c r="I274" s="4" t="n"/>
      <c r="J274" s="5">
        <f>IF(OR($I274="",$H274="Terminé"),"",$I274-TODAY())</f>
        <v/>
      </c>
      <c r="K274" s="2" t="n"/>
    </row>
    <row r="275">
      <c r="A275" s="2" t="n"/>
      <c r="B275" s="2" t="n"/>
      <c r="C275" s="2" t="n"/>
      <c r="D275" s="2" t="n"/>
      <c r="E275" s="2" t="n"/>
      <c r="F275" s="2" t="n"/>
      <c r="G275" s="3" t="n"/>
      <c r="H275" s="2" t="n"/>
      <c r="I275" s="4" t="n"/>
      <c r="J275" s="5">
        <f>IF(OR($I275="",$H275="Terminé"),"",$I275-TODAY())</f>
        <v/>
      </c>
      <c r="K275" s="2" t="n"/>
    </row>
    <row r="276">
      <c r="A276" s="2" t="n"/>
      <c r="B276" s="2" t="n"/>
      <c r="C276" s="2" t="n"/>
      <c r="D276" s="2" t="n"/>
      <c r="E276" s="2" t="n"/>
      <c r="F276" s="2" t="n"/>
      <c r="G276" s="3" t="n"/>
      <c r="H276" s="2" t="n"/>
      <c r="I276" s="4" t="n"/>
      <c r="J276" s="5">
        <f>IF(OR($I276="",$H276="Terminé"),"",$I276-TODAY())</f>
        <v/>
      </c>
      <c r="K276" s="2" t="n"/>
    </row>
    <row r="277">
      <c r="A277" s="2" t="n"/>
      <c r="B277" s="2" t="n"/>
      <c r="C277" s="2" t="n"/>
      <c r="D277" s="2" t="n"/>
      <c r="E277" s="2" t="n"/>
      <c r="F277" s="2" t="n"/>
      <c r="G277" s="3" t="n"/>
      <c r="H277" s="2" t="n"/>
      <c r="I277" s="4" t="n"/>
      <c r="J277" s="5">
        <f>IF(OR($I277="",$H277="Terminé"),"",$I277-TODAY())</f>
        <v/>
      </c>
      <c r="K277" s="2" t="n"/>
    </row>
    <row r="278">
      <c r="A278" s="2" t="n"/>
      <c r="B278" s="2" t="n"/>
      <c r="C278" s="2" t="n"/>
      <c r="D278" s="2" t="n"/>
      <c r="E278" s="2" t="n"/>
      <c r="F278" s="2" t="n"/>
      <c r="G278" s="3" t="n"/>
      <c r="H278" s="2" t="n"/>
      <c r="I278" s="4" t="n"/>
      <c r="J278" s="5">
        <f>IF(OR($I278="",$H278="Terminé"),"",$I278-TODAY())</f>
        <v/>
      </c>
      <c r="K278" s="2" t="n"/>
    </row>
    <row r="279">
      <c r="A279" s="2" t="n"/>
      <c r="B279" s="2" t="n"/>
      <c r="C279" s="2" t="n"/>
      <c r="D279" s="2" t="n"/>
      <c r="E279" s="2" t="n"/>
      <c r="F279" s="2" t="n"/>
      <c r="G279" s="3" t="n"/>
      <c r="H279" s="2" t="n"/>
      <c r="I279" s="4" t="n"/>
      <c r="J279" s="5">
        <f>IF(OR($I279="",$H279="Terminé"),"",$I279-TODAY())</f>
        <v/>
      </c>
      <c r="K279" s="2" t="n"/>
    </row>
    <row r="280">
      <c r="A280" s="2" t="n"/>
      <c r="B280" s="2" t="n"/>
      <c r="C280" s="2" t="n"/>
      <c r="D280" s="2" t="n"/>
      <c r="E280" s="2" t="n"/>
      <c r="F280" s="2" t="n"/>
      <c r="G280" s="3" t="n"/>
      <c r="H280" s="2" t="n"/>
      <c r="I280" s="4" t="n"/>
      <c r="J280" s="5">
        <f>IF(OR($I280="",$H280="Terminé"),"",$I280-TODAY())</f>
        <v/>
      </c>
      <c r="K280" s="2" t="n"/>
    </row>
    <row r="281">
      <c r="A281" s="2" t="n"/>
      <c r="B281" s="2" t="n"/>
      <c r="C281" s="2" t="n"/>
      <c r="D281" s="2" t="n"/>
      <c r="E281" s="2" t="n"/>
      <c r="F281" s="2" t="n"/>
      <c r="G281" s="3" t="n"/>
      <c r="H281" s="2" t="n"/>
      <c r="I281" s="4" t="n"/>
      <c r="J281" s="5">
        <f>IF(OR($I281="",$H281="Terminé"),"",$I281-TODAY())</f>
        <v/>
      </c>
      <c r="K281" s="2" t="n"/>
    </row>
    <row r="282">
      <c r="A282" s="2" t="n"/>
      <c r="B282" s="2" t="n"/>
      <c r="C282" s="2" t="n"/>
      <c r="D282" s="2" t="n"/>
      <c r="E282" s="2" t="n"/>
      <c r="F282" s="2" t="n"/>
      <c r="G282" s="3" t="n"/>
      <c r="H282" s="2" t="n"/>
      <c r="I282" s="4" t="n"/>
      <c r="J282" s="5">
        <f>IF(OR($I282="",$H282="Terminé"),"",$I282-TODAY())</f>
        <v/>
      </c>
      <c r="K282" s="2" t="n"/>
    </row>
    <row r="283">
      <c r="A283" s="2" t="n"/>
      <c r="B283" s="2" t="n"/>
      <c r="C283" s="2" t="n"/>
      <c r="D283" s="2" t="n"/>
      <c r="E283" s="2" t="n"/>
      <c r="F283" s="2" t="n"/>
      <c r="G283" s="3" t="n"/>
      <c r="H283" s="2" t="n"/>
      <c r="I283" s="4" t="n"/>
      <c r="J283" s="5">
        <f>IF(OR($I283="",$H283="Terminé"),"",$I283-TODAY())</f>
        <v/>
      </c>
      <c r="K283" s="2" t="n"/>
    </row>
    <row r="284">
      <c r="A284" s="2" t="n"/>
      <c r="B284" s="2" t="n"/>
      <c r="C284" s="2" t="n"/>
      <c r="D284" s="2" t="n"/>
      <c r="E284" s="2" t="n"/>
      <c r="F284" s="2" t="n"/>
      <c r="G284" s="3" t="n"/>
      <c r="H284" s="2" t="n"/>
      <c r="I284" s="4" t="n"/>
      <c r="J284" s="5">
        <f>IF(OR($I284="",$H284="Terminé"),"",$I284-TODAY())</f>
        <v/>
      </c>
      <c r="K284" s="2" t="n"/>
    </row>
    <row r="285">
      <c r="A285" s="2" t="n"/>
      <c r="B285" s="2" t="n"/>
      <c r="C285" s="2" t="n"/>
      <c r="D285" s="2" t="n"/>
      <c r="E285" s="2" t="n"/>
      <c r="F285" s="2" t="n"/>
      <c r="G285" s="3" t="n"/>
      <c r="H285" s="2" t="n"/>
      <c r="I285" s="4" t="n"/>
      <c r="J285" s="5">
        <f>IF(OR($I285="",$H285="Terminé"),"",$I285-TODAY())</f>
        <v/>
      </c>
      <c r="K285" s="2" t="n"/>
    </row>
    <row r="286">
      <c r="A286" s="2" t="n"/>
      <c r="B286" s="2" t="n"/>
      <c r="C286" s="2" t="n"/>
      <c r="D286" s="2" t="n"/>
      <c r="E286" s="2" t="n"/>
      <c r="F286" s="2" t="n"/>
      <c r="G286" s="3" t="n"/>
      <c r="H286" s="2" t="n"/>
      <c r="I286" s="4" t="n"/>
      <c r="J286" s="5">
        <f>IF(OR($I286="",$H286="Terminé"),"",$I286-TODAY())</f>
        <v/>
      </c>
      <c r="K286" s="2" t="n"/>
    </row>
    <row r="287">
      <c r="A287" s="2" t="n"/>
      <c r="B287" s="2" t="n"/>
      <c r="C287" s="2" t="n"/>
      <c r="D287" s="2" t="n"/>
      <c r="E287" s="2" t="n"/>
      <c r="F287" s="2" t="n"/>
      <c r="G287" s="3" t="n"/>
      <c r="H287" s="2" t="n"/>
      <c r="I287" s="4" t="n"/>
      <c r="J287" s="5">
        <f>IF(OR($I287="",$H287="Terminé"),"",$I287-TODAY())</f>
        <v/>
      </c>
      <c r="K287" s="2" t="n"/>
    </row>
    <row r="288">
      <c r="A288" s="2" t="n"/>
      <c r="B288" s="2" t="n"/>
      <c r="C288" s="2" t="n"/>
      <c r="D288" s="2" t="n"/>
      <c r="E288" s="2" t="n"/>
      <c r="F288" s="2" t="n"/>
      <c r="G288" s="3" t="n"/>
      <c r="H288" s="2" t="n"/>
      <c r="I288" s="4" t="n"/>
      <c r="J288" s="5">
        <f>IF(OR($I288="",$H288="Terminé"),"",$I288-TODAY())</f>
        <v/>
      </c>
      <c r="K288" s="2" t="n"/>
    </row>
    <row r="289">
      <c r="A289" s="2" t="n"/>
      <c r="B289" s="2" t="n"/>
      <c r="C289" s="2" t="n"/>
      <c r="D289" s="2" t="n"/>
      <c r="E289" s="2" t="n"/>
      <c r="F289" s="2" t="n"/>
      <c r="G289" s="3" t="n"/>
      <c r="H289" s="2" t="n"/>
      <c r="I289" s="4" t="n"/>
      <c r="J289" s="5">
        <f>IF(OR($I289="",$H289="Terminé"),"",$I289-TODAY())</f>
        <v/>
      </c>
      <c r="K289" s="2" t="n"/>
    </row>
    <row r="290">
      <c r="A290" s="2" t="n"/>
      <c r="B290" s="2" t="n"/>
      <c r="C290" s="2" t="n"/>
      <c r="D290" s="2" t="n"/>
      <c r="E290" s="2" t="n"/>
      <c r="F290" s="2" t="n"/>
      <c r="G290" s="3" t="n"/>
      <c r="H290" s="2" t="n"/>
      <c r="I290" s="4" t="n"/>
      <c r="J290" s="5">
        <f>IF(OR($I290="",$H290="Terminé"),"",$I290-TODAY())</f>
        <v/>
      </c>
      <c r="K290" s="2" t="n"/>
    </row>
    <row r="291">
      <c r="A291" s="2" t="n"/>
      <c r="B291" s="2" t="n"/>
      <c r="C291" s="2" t="n"/>
      <c r="D291" s="2" t="n"/>
      <c r="E291" s="2" t="n"/>
      <c r="F291" s="2" t="n"/>
      <c r="G291" s="3" t="n"/>
      <c r="H291" s="2" t="n"/>
      <c r="I291" s="4" t="n"/>
      <c r="J291" s="5">
        <f>IF(OR($I291="",$H291="Terminé"),"",$I291-TODAY())</f>
        <v/>
      </c>
      <c r="K291" s="2" t="n"/>
    </row>
    <row r="292">
      <c r="A292" s="2" t="n"/>
      <c r="B292" s="2" t="n"/>
      <c r="C292" s="2" t="n"/>
      <c r="D292" s="2" t="n"/>
      <c r="E292" s="2" t="n"/>
      <c r="F292" s="2" t="n"/>
      <c r="G292" s="3" t="n"/>
      <c r="H292" s="2" t="n"/>
      <c r="I292" s="4" t="n"/>
      <c r="J292" s="5">
        <f>IF(OR($I292="",$H292="Terminé"),"",$I292-TODAY())</f>
        <v/>
      </c>
      <c r="K292" s="2" t="n"/>
    </row>
    <row r="293">
      <c r="A293" s="2" t="n"/>
      <c r="B293" s="2" t="n"/>
      <c r="C293" s="2" t="n"/>
      <c r="D293" s="2" t="n"/>
      <c r="E293" s="2" t="n"/>
      <c r="F293" s="2" t="n"/>
      <c r="G293" s="3" t="n"/>
      <c r="H293" s="2" t="n"/>
      <c r="I293" s="4" t="n"/>
      <c r="J293" s="5">
        <f>IF(OR($I293="",$H293="Terminé"),"",$I293-TODAY())</f>
        <v/>
      </c>
      <c r="K293" s="2" t="n"/>
    </row>
    <row r="294">
      <c r="A294" s="2" t="n"/>
      <c r="B294" s="2" t="n"/>
      <c r="C294" s="2" t="n"/>
      <c r="D294" s="2" t="n"/>
      <c r="E294" s="2" t="n"/>
      <c r="F294" s="2" t="n"/>
      <c r="G294" s="3" t="n"/>
      <c r="H294" s="2" t="n"/>
      <c r="I294" s="4" t="n"/>
      <c r="J294" s="5">
        <f>IF(OR($I294="",$H294="Terminé"),"",$I294-TODAY())</f>
        <v/>
      </c>
      <c r="K294" s="2" t="n"/>
    </row>
    <row r="295">
      <c r="A295" s="2" t="n"/>
      <c r="B295" s="2" t="n"/>
      <c r="C295" s="2" t="n"/>
      <c r="D295" s="2" t="n"/>
      <c r="E295" s="2" t="n"/>
      <c r="F295" s="2" t="n"/>
      <c r="G295" s="3" t="n"/>
      <c r="H295" s="2" t="n"/>
      <c r="I295" s="4" t="n"/>
      <c r="J295" s="5">
        <f>IF(OR($I295="",$H295="Terminé"),"",$I295-TODAY())</f>
        <v/>
      </c>
      <c r="K295" s="2" t="n"/>
    </row>
    <row r="296">
      <c r="A296" s="2" t="n"/>
      <c r="B296" s="2" t="n"/>
      <c r="C296" s="2" t="n"/>
      <c r="D296" s="2" t="n"/>
      <c r="E296" s="2" t="n"/>
      <c r="F296" s="2" t="n"/>
      <c r="G296" s="3" t="n"/>
      <c r="H296" s="2" t="n"/>
      <c r="I296" s="4" t="n"/>
      <c r="J296" s="5">
        <f>IF(OR($I296="",$H296="Terminé"),"",$I296-TODAY())</f>
        <v/>
      </c>
      <c r="K296" s="2" t="n"/>
    </row>
    <row r="297">
      <c r="A297" s="2" t="n"/>
      <c r="B297" s="2" t="n"/>
      <c r="C297" s="2" t="n"/>
      <c r="D297" s="2" t="n"/>
      <c r="E297" s="2" t="n"/>
      <c r="F297" s="2" t="n"/>
      <c r="G297" s="3" t="n"/>
      <c r="H297" s="2" t="n"/>
      <c r="I297" s="4" t="n"/>
      <c r="J297" s="5">
        <f>IF(OR($I297="",$H297="Terminé"),"",$I297-TODAY())</f>
        <v/>
      </c>
      <c r="K297" s="2" t="n"/>
    </row>
    <row r="298">
      <c r="A298" s="2" t="n"/>
      <c r="B298" s="2" t="n"/>
      <c r="C298" s="2" t="n"/>
      <c r="D298" s="2" t="n"/>
      <c r="E298" s="2" t="n"/>
      <c r="F298" s="2" t="n"/>
      <c r="G298" s="3" t="n"/>
      <c r="H298" s="2" t="n"/>
      <c r="I298" s="4" t="n"/>
      <c r="J298" s="5">
        <f>IF(OR($I298="",$H298="Terminé"),"",$I298-TODAY())</f>
        <v/>
      </c>
      <c r="K298" s="2" t="n"/>
    </row>
    <row r="299">
      <c r="A299" s="2" t="n"/>
      <c r="B299" s="2" t="n"/>
      <c r="C299" s="2" t="n"/>
      <c r="D299" s="2" t="n"/>
      <c r="E299" s="2" t="n"/>
      <c r="F299" s="2" t="n"/>
      <c r="G299" s="3" t="n"/>
      <c r="H299" s="2" t="n"/>
      <c r="I299" s="4" t="n"/>
      <c r="J299" s="5">
        <f>IF(OR($I299="",$H299="Terminé"),"",$I299-TODAY())</f>
        <v/>
      </c>
      <c r="K299" s="2" t="n"/>
    </row>
    <row r="300">
      <c r="A300" s="2" t="n"/>
      <c r="B300" s="2" t="n"/>
      <c r="C300" s="2" t="n"/>
      <c r="D300" s="2" t="n"/>
      <c r="E300" s="2" t="n"/>
      <c r="F300" s="2" t="n"/>
      <c r="G300" s="3" t="n"/>
      <c r="H300" s="2" t="n"/>
      <c r="I300" s="4" t="n"/>
      <c r="J300" s="5">
        <f>IF(OR($I300="",$H300="Terminé"),"",$I300-TODAY())</f>
        <v/>
      </c>
      <c r="K300" s="2" t="n"/>
    </row>
    <row r="301">
      <c r="A301" s="2" t="n"/>
      <c r="B301" s="2" t="n"/>
      <c r="C301" s="2" t="n"/>
      <c r="D301" s="2" t="n"/>
      <c r="E301" s="2" t="n"/>
      <c r="F301" s="2" t="n"/>
      <c r="G301" s="3" t="n"/>
      <c r="H301" s="2" t="n"/>
      <c r="I301" s="4" t="n"/>
      <c r="J301" s="5">
        <f>IF(OR($I301="",$H301="Terminé"),"",$I301-TODAY())</f>
        <v/>
      </c>
      <c r="K301" s="2" t="n"/>
    </row>
  </sheetData>
  <conditionalFormatting sqref="G2:G301">
    <cfRule type="expression" priority="1" dxfId="0">
      <formula>AND($G2&lt;&gt;"",NOT(ISNUMBER($G2)))</formula>
    </cfRule>
  </conditionalFormatting>
  <conditionalFormatting sqref="H2:H301">
    <cfRule type="cellIs" priority="2" operator="equal" dxfId="1">
      <formula>"Terminé"</formula>
    </cfRule>
  </conditionalFormatting>
  <conditionalFormatting sqref="I2:I301">
    <cfRule type="expression" priority="3" dxfId="0">
      <formula>AND($I2&lt;&gt;"",NOT(ISNUMBER($I2)))</formula>
    </cfRule>
  </conditionalFormatting>
  <conditionalFormatting sqref="J2:J301">
    <cfRule type="expression" priority="4" dxfId="0">
      <formula>AND(ISNUMBER($J2),$J2&lt;0)</formula>
    </cfRule>
    <cfRule type="expression" priority="5" dxfId="2">
      <formula>AND(ISNUMBER($J2),$J2&gt;=0,$J2&lt;=2)</formula>
    </cfRule>
  </conditionalFormatting>
  <dataValidations count="3">
    <dataValidation sqref="B2:B301" showDropDown="0" showInputMessage="0" showErrorMessage="0" allowBlank="1" errorTitle="Type" error="Choisissez dans la liste : Visuel, Vidéo, Son." type="list">
      <formula1>"Visuel,Vidéo,Son"</formula1>
    </dataValidation>
    <dataValidation sqref="D2:D301" showDropDown="0" showInputMessage="0" showErrorMessage="0" allowBlank="1" errorTitle="Format" error="Choisissez dans la liste : Vertical, Carré, Horizontal, Autre." type="list">
      <formula1>"Vertical,Carré,Horizontal,Autre"</formula1>
    </dataValidation>
    <dataValidation sqref="H2:H301" showDropDown="0" showInputMessage="0" showErrorMessage="0" allowBlank="1" errorTitle="État" error="Choisissez dans la liste : À faire, En cours, À valider, Terminé." type="list">
      <formula1>"À faire,En cours,À valider,Terminé"</formula1>
    </dataValidation>
  </dataValidation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workbookViewId="0">
      <selection activeCell="A1" sqref="A1"/>
    </sheetView>
  </sheetViews>
  <sheetFormatPr baseColWidth="8" defaultRowHeight="15"/>
  <cols>
    <col width="56" customWidth="1" min="1" max="1"/>
    <col width="16" customWidth="1" min="2" max="2"/>
  </cols>
  <sheetData>
    <row r="1">
      <c r="A1" s="6" t="inlineStr">
        <is>
          <t>Vos productions en un coup d'œil</t>
        </is>
      </c>
    </row>
    <row r="3">
      <c r="A3" s="2" t="inlineStr">
        <is>
          <t>Productions à faire</t>
        </is>
      </c>
      <c r="B3" s="7">
        <f>COUNTIF(Productions!$H$2:$H$301,"À faire")</f>
        <v/>
      </c>
    </row>
    <row r="4">
      <c r="A4" s="2" t="inlineStr">
        <is>
          <t>Productions en cours</t>
        </is>
      </c>
      <c r="B4" s="7">
        <f>COUNTIF(Productions!$H$2:$H$301,"En cours")</f>
        <v/>
      </c>
    </row>
    <row r="5">
      <c r="A5" s="2" t="inlineStr">
        <is>
          <t>Productions à valider</t>
        </is>
      </c>
      <c r="B5" s="7">
        <f>COUNTIF(Productions!$H$2:$H$301,"À valider")</f>
        <v/>
      </c>
    </row>
    <row r="6">
      <c r="A6" s="2" t="inlineStr">
        <is>
          <t>Productions terminées</t>
        </is>
      </c>
      <c r="B6" s="7">
        <f>COUNTIF(Productions!$H$2:$H$301,"Terminé")</f>
        <v/>
      </c>
    </row>
    <row r="7">
      <c r="A7" s="2" t="inlineStr">
        <is>
          <t>Productions en retard</t>
        </is>
      </c>
      <c r="B7" s="7">
        <f>COUNTIF(Productions!$J$2:$J$301,"&lt;0")</f>
        <v/>
      </c>
    </row>
    <row r="8">
      <c r="A8" s="2" t="inlineStr">
        <is>
          <t>À rendre dans 2 jours ou moins</t>
        </is>
      </c>
      <c r="B8" s="7">
        <f>COUNTIFS(Productions!$J$2:$J$301,"&gt;=0",Productions!$J$2:$J$301,"&lt;=2")</f>
        <v/>
      </c>
    </row>
    <row r="9">
      <c r="A9" s="2" t="inlineStr">
        <is>
          <t>Productions de type : Visuel</t>
        </is>
      </c>
      <c r="B9" s="7">
        <f>COUNTIF(Productions!$B$2:$B$301,"Visuel")</f>
        <v/>
      </c>
    </row>
    <row r="10">
      <c r="A10" s="2" t="inlineStr">
        <is>
          <t>Productions de type : Vidéo</t>
        </is>
      </c>
      <c r="B10" s="7">
        <f>COUNTIF(Productions!$B$2:$B$301,"Vidéo")</f>
        <v/>
      </c>
    </row>
    <row r="11">
      <c r="A11" s="2" t="inlineStr">
        <is>
          <t>Productions de type : Son</t>
        </is>
      </c>
      <c r="B11" s="7">
        <f>COUNTIF(Productions!$B$2:$B$301,"Son")</f>
        <v/>
      </c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3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2" customWidth="1" min="3" max="3"/>
    <col width="11" customWidth="1" min="4" max="4"/>
    <col width="34" customWidth="1" min="5" max="5"/>
    <col width="14" customWidth="1" min="6" max="6"/>
    <col width="8" customWidth="1" min="7" max="7"/>
    <col width="11" customWidth="1" min="8" max="8"/>
    <col width="12" customWidth="1" min="9" max="9"/>
    <col width="9" customWidth="1" min="10" max="10"/>
    <col width="28" customWidth="1" min="11" max="11"/>
  </cols>
  <sheetData>
    <row r="1" ht="16" customHeight="1">
      <c r="A1" s="6" t="inlineStr">
        <is>
          <t>Suivi des visuels et des vidéos : mode d'emploi</t>
        </is>
      </c>
    </row>
    <row r="2" ht="16" customHeight="1"/>
    <row r="3" ht="16" customHeight="1">
      <c r="A3" s="8" t="inlineStr">
        <is>
          <t>COMMENT REMPLIR :</t>
        </is>
      </c>
    </row>
    <row r="4" ht="32" customHeight="1">
      <c r="A4" s="9" t="inlineStr">
        <is>
          <t>1. Une ligne par visuel, par vidéo ou par enregistrement à produire. Écrivez seulement dans les cases blanches : la case grise « Jours restants » se calcule seule.</t>
        </is>
      </c>
    </row>
    <row r="5" ht="16" customHeight="1">
      <c r="A5" s="9" t="inlineStr">
        <is>
          <t>2. Choisissez le type, le format et l'état dans les listes. Écrivez le brief en une ligne : ce que l'on doit voir ou entendre.</t>
        </is>
      </c>
    </row>
    <row r="6" ht="16" customHeight="1">
      <c r="A6" s="9" t="inlineStr">
        <is>
          <t>3. Version : 1 pour la première, 2 après une correction, et ainsi de suite.</t>
        </is>
      </c>
    </row>
    <row r="7" ht="16" customHeight="1">
      <c r="A7" s="9" t="inlineStr">
        <is>
          <t>4. Échéance sous la forme 05/10/2026. Une case rouge dans la colonne de date : retapez-la.</t>
        </is>
      </c>
    </row>
    <row r="8" ht="16" customHeight="1">
      <c r="A8" s="9" t="inlineStr">
        <is>
          <t>5. Remarque : notez l'accord reçu quand une personne apparaît à l'image ou prête sa voix, et ce que le client a demandé de changer.</t>
        </is>
      </c>
    </row>
    <row r="9" ht="16" customHeight="1">
      <c r="A9" s="9" t="inlineStr"/>
    </row>
    <row r="10" ht="16" customHeight="1">
      <c r="A10" s="8" t="inlineStr">
        <is>
          <t>LA COLONNE JOURS RESTANTS :</t>
        </is>
      </c>
    </row>
    <row r="11" ht="32" customHeight="1">
      <c r="A11" s="9" t="inlineStr">
        <is>
          <t>Elle compte les jours jusqu'à l'échéance. Orange à 2 jours ou moins, rouge quand la date est dépassée. La case se vide quand l'état passe à « Terminé ».</t>
        </is>
      </c>
    </row>
    <row r="12" ht="16" customHeight="1">
      <c r="A12" s="9" t="inlineStr"/>
    </row>
    <row r="13" ht="16" customHeight="1">
      <c r="A13" s="8" t="inlineStr">
        <is>
          <t>L'ONGLET RÉSUMÉ :</t>
        </is>
      </c>
    </row>
    <row r="14" ht="16" customHeight="1">
      <c r="A14" s="9" t="inlineStr">
        <is>
          <t>Il compte seul les productions à faire, en cours, à valider, terminées, en retard, et les productions par type.</t>
        </is>
      </c>
    </row>
    <row r="15" ht="16" customHeight="1">
      <c r="A15" s="9" t="inlineStr"/>
    </row>
    <row r="16" ht="16" customHeight="1">
      <c r="A16" s="8" t="inlineStr">
        <is>
          <t>EXEMPLE (ne modifiez pas cet exemple, il sert seulement de modèle) :</t>
        </is>
      </c>
    </row>
    <row r="17" ht="46" customHeight="1">
      <c r="A17" s="1" t="inlineStr">
        <is>
          <t>N°</t>
        </is>
      </c>
      <c r="B17" s="1" t="inlineStr">
        <is>
          <t>Type</t>
        </is>
      </c>
      <c r="C17" s="1" t="inlineStr">
        <is>
          <t>Pour quelle publication ou quel client</t>
        </is>
      </c>
      <c r="D17" s="1" t="inlineStr">
        <is>
          <t>Format</t>
        </is>
      </c>
      <c r="E17" s="1" t="inlineStr">
        <is>
          <t>Le brief, en une ligne</t>
        </is>
      </c>
      <c r="F17" s="1" t="inlineStr">
        <is>
          <t>Outil</t>
        </is>
      </c>
      <c r="G17" s="1" t="inlineStr">
        <is>
          <t>Version</t>
        </is>
      </c>
      <c r="H17" s="1" t="inlineStr">
        <is>
          <t>État</t>
        </is>
      </c>
      <c r="I17" s="1" t="inlineStr">
        <is>
          <t>Échéance</t>
        </is>
      </c>
      <c r="J17" s="1" t="inlineStr">
        <is>
          <t>Jours restants</t>
        </is>
      </c>
      <c r="K17" s="1" t="inlineStr">
        <is>
          <t>Remarque</t>
        </is>
      </c>
    </row>
    <row r="18" ht="34" customHeight="1">
      <c r="A18" s="2" t="inlineStr">
        <is>
          <t>P-01</t>
        </is>
      </c>
      <c r="B18" s="2" t="inlineStr">
        <is>
          <t>Visuel</t>
        </is>
      </c>
      <c r="C18" s="2" t="inlineStr">
        <is>
          <t>Publication du lundi</t>
        </is>
      </c>
      <c r="D18" s="2" t="inlineStr">
        <is>
          <t>Carré</t>
        </is>
      </c>
      <c r="E18" s="2" t="inlineStr">
        <is>
          <t>Le plat du jour vu de dessus, prix en haut à droite</t>
        </is>
      </c>
      <c r="F18" s="2" t="inlineStr">
        <is>
          <t>Canva</t>
        </is>
      </c>
      <c r="G18" s="3" t="n">
        <v>2</v>
      </c>
      <c r="H18" s="2" t="inlineStr">
        <is>
          <t>À valider</t>
        </is>
      </c>
      <c r="I18" s="4" t="n">
        <v>46300</v>
      </c>
      <c r="J18" s="5" t="inlineStr"/>
      <c r="K18" s="2" t="inlineStr">
        <is>
          <t>Prix à vérifier avec la gérante</t>
        </is>
      </c>
    </row>
    <row r="19" ht="34" customHeight="1">
      <c r="A19" s="2" t="inlineStr">
        <is>
          <t>P-02</t>
        </is>
      </c>
      <c r="B19" s="2" t="inlineStr">
        <is>
          <t>Vidéo</t>
        </is>
      </c>
      <c r="C19" s="2" t="inlineStr">
        <is>
          <t>Statut du mercredi</t>
        </is>
      </c>
      <c r="D19" s="2" t="inlineStr">
        <is>
          <t>Vertical</t>
        </is>
      </c>
      <c r="E19" s="2" t="inlineStr">
        <is>
          <t>La cuisine en 20 secondes, trois plans</t>
        </is>
      </c>
      <c r="F19" s="2" t="inlineStr">
        <is>
          <t>CapCut</t>
        </is>
      </c>
      <c r="G19" s="3" t="n">
        <v>1</v>
      </c>
      <c r="H19" s="2" t="inlineStr">
        <is>
          <t>En cours</t>
        </is>
      </c>
      <c r="I19" s="4" t="n">
        <v>46302</v>
      </c>
      <c r="J19" s="5" t="inlineStr"/>
      <c r="K19" s="2" t="inlineStr">
        <is>
          <t>La cuisinière a donné son accord</t>
        </is>
      </c>
    </row>
    <row r="21" ht="32" customHeight="1">
      <c r="A21" s="9" t="inlineStr">
        <is>
          <t>Dans cet exemple : le visuel attend la validation de sa deuxième version. La vidéo est en cours de montage, et l'accord de la personne filmée est noté.</t>
        </is>
      </c>
    </row>
    <row r="23">
      <c r="A23" s="10" t="inlineStr">
        <is>
          <t>Document du kit « Marketing » d'AI WORK KIT.</t>
        </is>
      </c>
    </row>
  </sheetData>
  <mergeCells count="18">
    <mergeCell ref="A6:K6"/>
    <mergeCell ref="A12:K12"/>
    <mergeCell ref="A4:K4"/>
    <mergeCell ref="A3:K3"/>
    <mergeCell ref="A21:K21"/>
    <mergeCell ref="A15:K15"/>
    <mergeCell ref="A7:K7"/>
    <mergeCell ref="A2:K2"/>
    <mergeCell ref="A11:K11"/>
    <mergeCell ref="A16:K16"/>
    <mergeCell ref="A10:K10"/>
    <mergeCell ref="A5:K5"/>
    <mergeCell ref="A13:K13"/>
    <mergeCell ref="A14:K14"/>
    <mergeCell ref="A1:K1"/>
    <mergeCell ref="A23:K23"/>
    <mergeCell ref="A9:K9"/>
    <mergeCell ref="A8:K8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2026-10-04T14:09:54Z</dcterms:created>
  <dcterms:modified xmlns:dcterms="http://purl.org/dc/terms/" xmlns:xsi="http://www.w3.org/2001/XMLSchema-instance" xsi:type="dcterms:W3CDTF">2026-10-04T14:09:54Z</dcterms:modified>
</cp:coreProperties>
</file>