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s" sheetId="1" state="visible" r:id="rId1"/>
    <sheet xmlns:r="http://schemas.openxmlformats.org/officeDocument/2006/relationships" name="Factures" sheetId="2" state="visible" r:id="rId2"/>
    <sheet xmlns:r="http://schemas.openxmlformats.org/officeDocument/2006/relationships" name="Résumé" sheetId="3" state="visible" r:id="rId3"/>
    <sheet xmlns:r="http://schemas.openxmlformats.org/officeDocument/2006/relationships" name="Mode d'emp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6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  <border>
      <left/>
      <right/>
      <top style="thin">
        <color rgb="00C9CFCD"/>
      </top>
      <bottom/>
      <diagonal/>
    </border>
    <border>
      <left/>
      <right style="thin">
        <color rgb="00C9CFCD"/>
      </right>
      <top style="thin">
        <color rgb="00C9CFCD"/>
      </top>
      <bottom/>
      <diagonal/>
    </border>
    <border>
      <left/>
      <right/>
      <top style="thin">
        <color rgb="00C9CFCD"/>
      </top>
      <bottom style="thin">
        <color rgb="00C9CFCD"/>
      </bottom>
      <diagonal/>
    </border>
    <border>
      <left/>
      <right style="thin">
        <color rgb="00C9CFCD"/>
      </right>
      <top style="thin">
        <color rgb="00C9CFCD"/>
      </top>
      <bottom style="thin">
        <color rgb="00C9CFCD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3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3" fontId="2" fillId="3" borderId="1" pivotButton="0" quotePrefix="0" xfId="0"/>
    <xf numFmtId="0" fontId="2" fillId="3" borderId="1" pivotButton="0" quotePrefix="0" xfId="0"/>
    <xf numFmtId="0" fontId="4" fillId="0" borderId="1" applyAlignment="1" pivotButton="0" quotePrefix="0" xfId="0">
      <alignment horizontal="right"/>
    </xf>
    <xf numFmtId="0" fontId="0" fillId="0" borderId="1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3">
    <dxf>
      <fill>
        <patternFill patternType="solid">
          <fgColor rgb="00FBE3C4"/>
          <bgColor rgb="00FBE3C4"/>
        </patternFill>
      </fill>
    </dxf>
    <dxf>
      <fill>
        <patternFill patternType="solid">
          <fgColor rgb="00D5EDE4"/>
          <bgColor rgb="00D5EDE4"/>
        </patternFill>
      </fill>
    </dxf>
    <dxf>
      <fill>
        <patternFill patternType="solid">
          <fgColor rgb="00F8D0CB"/>
          <bgColor rgb="00F8D0C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32" customWidth="1" min="4" max="4"/>
    <col width="13" customWidth="1" min="5" max="5"/>
    <col width="12" customWidth="1" min="6" max="6"/>
    <col width="10" customWidth="1" min="7" max="7"/>
    <col width="12" customWidth="1" min="8" max="8"/>
  </cols>
  <sheetData>
    <row r="1" ht="46" customHeight="1">
      <c r="A1" s="1" t="inlineStr">
        <is>
          <t>Date d'envoi</t>
        </is>
      </c>
      <c r="B1" s="1" t="inlineStr">
        <is>
          <t>Code</t>
        </is>
      </c>
      <c r="C1" s="1" t="inlineStr">
        <is>
          <t>Client</t>
        </is>
      </c>
      <c r="D1" s="1" t="inlineStr">
        <is>
          <t>Objet</t>
        </is>
      </c>
      <c r="E1" s="1" t="inlineStr">
        <is>
          <t>Montant</t>
        </is>
      </c>
      <c r="F1" s="1" t="inlineStr">
        <is>
          <t>Statut</t>
        </is>
      </c>
      <c r="G1" s="1" t="inlineStr">
        <is>
          <t>Relances</t>
        </is>
      </c>
      <c r="H1" s="1" t="inlineStr">
        <is>
          <t>Jours depuis l'envoi</t>
        </is>
      </c>
    </row>
    <row r="2">
      <c r="A2" s="2" t="n"/>
      <c r="B2" s="3" t="n"/>
      <c r="C2" s="3" t="n"/>
      <c r="D2" s="3" t="n"/>
      <c r="E2" s="4" t="n"/>
      <c r="F2" s="3" t="n"/>
      <c r="G2" s="5" t="n"/>
      <c r="H2" s="6">
        <f>IF(AND($A2&lt;&gt;"",$F2="Envoyé"),TODAY()-$A2,"")</f>
        <v/>
      </c>
    </row>
    <row r="3">
      <c r="A3" s="2" t="n"/>
      <c r="B3" s="3" t="n"/>
      <c r="C3" s="3" t="n"/>
      <c r="D3" s="3" t="n"/>
      <c r="E3" s="4" t="n"/>
      <c r="F3" s="3" t="n"/>
      <c r="G3" s="5" t="n"/>
      <c r="H3" s="6">
        <f>IF(AND($A3&lt;&gt;"",$F3="Envoyé"),TODAY()-$A3,"")</f>
        <v/>
      </c>
    </row>
    <row r="4">
      <c r="A4" s="2" t="n"/>
      <c r="B4" s="3" t="n"/>
      <c r="C4" s="3" t="n"/>
      <c r="D4" s="3" t="n"/>
      <c r="E4" s="4" t="n"/>
      <c r="F4" s="3" t="n"/>
      <c r="G4" s="5" t="n"/>
      <c r="H4" s="6">
        <f>IF(AND($A4&lt;&gt;"",$F4="Envoyé"),TODAY()-$A4,"")</f>
        <v/>
      </c>
    </row>
    <row r="5">
      <c r="A5" s="2" t="n"/>
      <c r="B5" s="3" t="n"/>
      <c r="C5" s="3" t="n"/>
      <c r="D5" s="3" t="n"/>
      <c r="E5" s="4" t="n"/>
      <c r="F5" s="3" t="n"/>
      <c r="G5" s="5" t="n"/>
      <c r="H5" s="6">
        <f>IF(AND($A5&lt;&gt;"",$F5="Envoyé"),TODAY()-$A5,"")</f>
        <v/>
      </c>
    </row>
    <row r="6">
      <c r="A6" s="2" t="n"/>
      <c r="B6" s="3" t="n"/>
      <c r="C6" s="3" t="n"/>
      <c r="D6" s="3" t="n"/>
      <c r="E6" s="4" t="n"/>
      <c r="F6" s="3" t="n"/>
      <c r="G6" s="5" t="n"/>
      <c r="H6" s="6">
        <f>IF(AND($A6&lt;&gt;"",$F6="Envoyé"),TODAY()-$A6,"")</f>
        <v/>
      </c>
    </row>
    <row r="7">
      <c r="A7" s="2" t="n"/>
      <c r="B7" s="3" t="n"/>
      <c r="C7" s="3" t="n"/>
      <c r="D7" s="3" t="n"/>
      <c r="E7" s="4" t="n"/>
      <c r="F7" s="3" t="n"/>
      <c r="G7" s="5" t="n"/>
      <c r="H7" s="6">
        <f>IF(AND($A7&lt;&gt;"",$F7="Envoyé"),TODAY()-$A7,"")</f>
        <v/>
      </c>
    </row>
    <row r="8">
      <c r="A8" s="2" t="n"/>
      <c r="B8" s="3" t="n"/>
      <c r="C8" s="3" t="n"/>
      <c r="D8" s="3" t="n"/>
      <c r="E8" s="4" t="n"/>
      <c r="F8" s="3" t="n"/>
      <c r="G8" s="5" t="n"/>
      <c r="H8" s="6">
        <f>IF(AND($A8&lt;&gt;"",$F8="Envoyé"),TODAY()-$A8,"")</f>
        <v/>
      </c>
    </row>
    <row r="9">
      <c r="A9" s="2" t="n"/>
      <c r="B9" s="3" t="n"/>
      <c r="C9" s="3" t="n"/>
      <c r="D9" s="3" t="n"/>
      <c r="E9" s="4" t="n"/>
      <c r="F9" s="3" t="n"/>
      <c r="G9" s="5" t="n"/>
      <c r="H9" s="6">
        <f>IF(AND($A9&lt;&gt;"",$F9="Envoyé"),TODAY()-$A9,"")</f>
        <v/>
      </c>
    </row>
    <row r="10">
      <c r="A10" s="2" t="n"/>
      <c r="B10" s="3" t="n"/>
      <c r="C10" s="3" t="n"/>
      <c r="D10" s="3" t="n"/>
      <c r="E10" s="4" t="n"/>
      <c r="F10" s="3" t="n"/>
      <c r="G10" s="5" t="n"/>
      <c r="H10" s="6">
        <f>IF(AND($A10&lt;&gt;"",$F10="Envoyé"),TODAY()-$A10,"")</f>
        <v/>
      </c>
    </row>
    <row r="11">
      <c r="A11" s="2" t="n"/>
      <c r="B11" s="3" t="n"/>
      <c r="C11" s="3" t="n"/>
      <c r="D11" s="3" t="n"/>
      <c r="E11" s="4" t="n"/>
      <c r="F11" s="3" t="n"/>
      <c r="G11" s="5" t="n"/>
      <c r="H11" s="6">
        <f>IF(AND($A11&lt;&gt;"",$F11="Envoyé"),TODAY()-$A11,"")</f>
        <v/>
      </c>
    </row>
    <row r="12">
      <c r="A12" s="2" t="n"/>
      <c r="B12" s="3" t="n"/>
      <c r="C12" s="3" t="n"/>
      <c r="D12" s="3" t="n"/>
      <c r="E12" s="4" t="n"/>
      <c r="F12" s="3" t="n"/>
      <c r="G12" s="5" t="n"/>
      <c r="H12" s="6">
        <f>IF(AND($A12&lt;&gt;"",$F12="Envoyé"),TODAY()-$A12,"")</f>
        <v/>
      </c>
    </row>
    <row r="13">
      <c r="A13" s="2" t="n"/>
      <c r="B13" s="3" t="n"/>
      <c r="C13" s="3" t="n"/>
      <c r="D13" s="3" t="n"/>
      <c r="E13" s="4" t="n"/>
      <c r="F13" s="3" t="n"/>
      <c r="G13" s="5" t="n"/>
      <c r="H13" s="6">
        <f>IF(AND($A13&lt;&gt;"",$F13="Envoyé"),TODAY()-$A13,"")</f>
        <v/>
      </c>
    </row>
    <row r="14">
      <c r="A14" s="2" t="n"/>
      <c r="B14" s="3" t="n"/>
      <c r="C14" s="3" t="n"/>
      <c r="D14" s="3" t="n"/>
      <c r="E14" s="4" t="n"/>
      <c r="F14" s="3" t="n"/>
      <c r="G14" s="5" t="n"/>
      <c r="H14" s="6">
        <f>IF(AND($A14&lt;&gt;"",$F14="Envoyé"),TODAY()-$A14,"")</f>
        <v/>
      </c>
    </row>
    <row r="15">
      <c r="A15" s="2" t="n"/>
      <c r="B15" s="3" t="n"/>
      <c r="C15" s="3" t="n"/>
      <c r="D15" s="3" t="n"/>
      <c r="E15" s="4" t="n"/>
      <c r="F15" s="3" t="n"/>
      <c r="G15" s="5" t="n"/>
      <c r="H15" s="6">
        <f>IF(AND($A15&lt;&gt;"",$F15="Envoyé"),TODAY()-$A15,"")</f>
        <v/>
      </c>
    </row>
    <row r="16">
      <c r="A16" s="2" t="n"/>
      <c r="B16" s="3" t="n"/>
      <c r="C16" s="3" t="n"/>
      <c r="D16" s="3" t="n"/>
      <c r="E16" s="4" t="n"/>
      <c r="F16" s="3" t="n"/>
      <c r="G16" s="5" t="n"/>
      <c r="H16" s="6">
        <f>IF(AND($A16&lt;&gt;"",$F16="Envoyé"),TODAY()-$A16,"")</f>
        <v/>
      </c>
    </row>
    <row r="17">
      <c r="A17" s="2" t="n"/>
      <c r="B17" s="3" t="n"/>
      <c r="C17" s="3" t="n"/>
      <c r="D17" s="3" t="n"/>
      <c r="E17" s="4" t="n"/>
      <c r="F17" s="3" t="n"/>
      <c r="G17" s="5" t="n"/>
      <c r="H17" s="6">
        <f>IF(AND($A17&lt;&gt;"",$F17="Envoyé"),TODAY()-$A17,"")</f>
        <v/>
      </c>
    </row>
    <row r="18">
      <c r="A18" s="2" t="n"/>
      <c r="B18" s="3" t="n"/>
      <c r="C18" s="3" t="n"/>
      <c r="D18" s="3" t="n"/>
      <c r="E18" s="4" t="n"/>
      <c r="F18" s="3" t="n"/>
      <c r="G18" s="5" t="n"/>
      <c r="H18" s="6">
        <f>IF(AND($A18&lt;&gt;"",$F18="Envoyé"),TODAY()-$A18,"")</f>
        <v/>
      </c>
    </row>
    <row r="19">
      <c r="A19" s="2" t="n"/>
      <c r="B19" s="3" t="n"/>
      <c r="C19" s="3" t="n"/>
      <c r="D19" s="3" t="n"/>
      <c r="E19" s="4" t="n"/>
      <c r="F19" s="3" t="n"/>
      <c r="G19" s="5" t="n"/>
      <c r="H19" s="6">
        <f>IF(AND($A19&lt;&gt;"",$F19="Envoyé"),TODAY()-$A19,"")</f>
        <v/>
      </c>
    </row>
    <row r="20">
      <c r="A20" s="2" t="n"/>
      <c r="B20" s="3" t="n"/>
      <c r="C20" s="3" t="n"/>
      <c r="D20" s="3" t="n"/>
      <c r="E20" s="4" t="n"/>
      <c r="F20" s="3" t="n"/>
      <c r="G20" s="5" t="n"/>
      <c r="H20" s="6">
        <f>IF(AND($A20&lt;&gt;"",$F20="Envoyé"),TODAY()-$A20,"")</f>
        <v/>
      </c>
    </row>
    <row r="21">
      <c r="A21" s="2" t="n"/>
      <c r="B21" s="3" t="n"/>
      <c r="C21" s="3" t="n"/>
      <c r="D21" s="3" t="n"/>
      <c r="E21" s="4" t="n"/>
      <c r="F21" s="3" t="n"/>
      <c r="G21" s="5" t="n"/>
      <c r="H21" s="6">
        <f>IF(AND($A21&lt;&gt;"",$F21="Envoyé"),TODAY()-$A21,"")</f>
        <v/>
      </c>
    </row>
    <row r="22">
      <c r="A22" s="2" t="n"/>
      <c r="B22" s="3" t="n"/>
      <c r="C22" s="3" t="n"/>
      <c r="D22" s="3" t="n"/>
      <c r="E22" s="4" t="n"/>
      <c r="F22" s="3" t="n"/>
      <c r="G22" s="5" t="n"/>
      <c r="H22" s="6">
        <f>IF(AND($A22&lt;&gt;"",$F22="Envoyé"),TODAY()-$A22,"")</f>
        <v/>
      </c>
    </row>
    <row r="23">
      <c r="A23" s="2" t="n"/>
      <c r="B23" s="3" t="n"/>
      <c r="C23" s="3" t="n"/>
      <c r="D23" s="3" t="n"/>
      <c r="E23" s="4" t="n"/>
      <c r="F23" s="3" t="n"/>
      <c r="G23" s="5" t="n"/>
      <c r="H23" s="6">
        <f>IF(AND($A23&lt;&gt;"",$F23="Envoyé"),TODAY()-$A23,"")</f>
        <v/>
      </c>
    </row>
    <row r="24">
      <c r="A24" s="2" t="n"/>
      <c r="B24" s="3" t="n"/>
      <c r="C24" s="3" t="n"/>
      <c r="D24" s="3" t="n"/>
      <c r="E24" s="4" t="n"/>
      <c r="F24" s="3" t="n"/>
      <c r="G24" s="5" t="n"/>
      <c r="H24" s="6">
        <f>IF(AND($A24&lt;&gt;"",$F24="Envoyé"),TODAY()-$A24,"")</f>
        <v/>
      </c>
    </row>
    <row r="25">
      <c r="A25" s="2" t="n"/>
      <c r="B25" s="3" t="n"/>
      <c r="C25" s="3" t="n"/>
      <c r="D25" s="3" t="n"/>
      <c r="E25" s="4" t="n"/>
      <c r="F25" s="3" t="n"/>
      <c r="G25" s="5" t="n"/>
      <c r="H25" s="6">
        <f>IF(AND($A25&lt;&gt;"",$F25="Envoyé"),TODAY()-$A25,"")</f>
        <v/>
      </c>
    </row>
    <row r="26">
      <c r="A26" s="2" t="n"/>
      <c r="B26" s="3" t="n"/>
      <c r="C26" s="3" t="n"/>
      <c r="D26" s="3" t="n"/>
      <c r="E26" s="4" t="n"/>
      <c r="F26" s="3" t="n"/>
      <c r="G26" s="5" t="n"/>
      <c r="H26" s="6">
        <f>IF(AND($A26&lt;&gt;"",$F26="Envoyé"),TODAY()-$A26,"")</f>
        <v/>
      </c>
    </row>
    <row r="27">
      <c r="A27" s="2" t="n"/>
      <c r="B27" s="3" t="n"/>
      <c r="C27" s="3" t="n"/>
      <c r="D27" s="3" t="n"/>
      <c r="E27" s="4" t="n"/>
      <c r="F27" s="3" t="n"/>
      <c r="G27" s="5" t="n"/>
      <c r="H27" s="6">
        <f>IF(AND($A27&lt;&gt;"",$F27="Envoyé"),TODAY()-$A27,"")</f>
        <v/>
      </c>
    </row>
    <row r="28">
      <c r="A28" s="2" t="n"/>
      <c r="B28" s="3" t="n"/>
      <c r="C28" s="3" t="n"/>
      <c r="D28" s="3" t="n"/>
      <c r="E28" s="4" t="n"/>
      <c r="F28" s="3" t="n"/>
      <c r="G28" s="5" t="n"/>
      <c r="H28" s="6">
        <f>IF(AND($A28&lt;&gt;"",$F28="Envoyé"),TODAY()-$A28,"")</f>
        <v/>
      </c>
    </row>
    <row r="29">
      <c r="A29" s="2" t="n"/>
      <c r="B29" s="3" t="n"/>
      <c r="C29" s="3" t="n"/>
      <c r="D29" s="3" t="n"/>
      <c r="E29" s="4" t="n"/>
      <c r="F29" s="3" t="n"/>
      <c r="G29" s="5" t="n"/>
      <c r="H29" s="6">
        <f>IF(AND($A29&lt;&gt;"",$F29="Envoyé"),TODAY()-$A29,"")</f>
        <v/>
      </c>
    </row>
    <row r="30">
      <c r="A30" s="2" t="n"/>
      <c r="B30" s="3" t="n"/>
      <c r="C30" s="3" t="n"/>
      <c r="D30" s="3" t="n"/>
      <c r="E30" s="4" t="n"/>
      <c r="F30" s="3" t="n"/>
      <c r="G30" s="5" t="n"/>
      <c r="H30" s="6">
        <f>IF(AND($A30&lt;&gt;"",$F30="Envoyé"),TODAY()-$A30,"")</f>
        <v/>
      </c>
    </row>
    <row r="31">
      <c r="A31" s="2" t="n"/>
      <c r="B31" s="3" t="n"/>
      <c r="C31" s="3" t="n"/>
      <c r="D31" s="3" t="n"/>
      <c r="E31" s="4" t="n"/>
      <c r="F31" s="3" t="n"/>
      <c r="G31" s="5" t="n"/>
      <c r="H31" s="6">
        <f>IF(AND($A31&lt;&gt;"",$F31="Envoyé"),TODAY()-$A31,"")</f>
        <v/>
      </c>
    </row>
    <row r="32">
      <c r="A32" s="2" t="n"/>
      <c r="B32" s="3" t="n"/>
      <c r="C32" s="3" t="n"/>
      <c r="D32" s="3" t="n"/>
      <c r="E32" s="4" t="n"/>
      <c r="F32" s="3" t="n"/>
      <c r="G32" s="5" t="n"/>
      <c r="H32" s="6">
        <f>IF(AND($A32&lt;&gt;"",$F32="Envoyé"),TODAY()-$A32,"")</f>
        <v/>
      </c>
    </row>
    <row r="33">
      <c r="A33" s="2" t="n"/>
      <c r="B33" s="3" t="n"/>
      <c r="C33" s="3" t="n"/>
      <c r="D33" s="3" t="n"/>
      <c r="E33" s="4" t="n"/>
      <c r="F33" s="3" t="n"/>
      <c r="G33" s="5" t="n"/>
      <c r="H33" s="6">
        <f>IF(AND($A33&lt;&gt;"",$F33="Envoyé"),TODAY()-$A33,"")</f>
        <v/>
      </c>
    </row>
    <row r="34">
      <c r="A34" s="2" t="n"/>
      <c r="B34" s="3" t="n"/>
      <c r="C34" s="3" t="n"/>
      <c r="D34" s="3" t="n"/>
      <c r="E34" s="4" t="n"/>
      <c r="F34" s="3" t="n"/>
      <c r="G34" s="5" t="n"/>
      <c r="H34" s="6">
        <f>IF(AND($A34&lt;&gt;"",$F34="Envoyé"),TODAY()-$A34,"")</f>
        <v/>
      </c>
    </row>
    <row r="35">
      <c r="A35" s="2" t="n"/>
      <c r="B35" s="3" t="n"/>
      <c r="C35" s="3" t="n"/>
      <c r="D35" s="3" t="n"/>
      <c r="E35" s="4" t="n"/>
      <c r="F35" s="3" t="n"/>
      <c r="G35" s="5" t="n"/>
      <c r="H35" s="6">
        <f>IF(AND($A35&lt;&gt;"",$F35="Envoyé"),TODAY()-$A35,"")</f>
        <v/>
      </c>
    </row>
    <row r="36">
      <c r="A36" s="2" t="n"/>
      <c r="B36" s="3" t="n"/>
      <c r="C36" s="3" t="n"/>
      <c r="D36" s="3" t="n"/>
      <c r="E36" s="4" t="n"/>
      <c r="F36" s="3" t="n"/>
      <c r="G36" s="5" t="n"/>
      <c r="H36" s="6">
        <f>IF(AND($A36&lt;&gt;"",$F36="Envoyé"),TODAY()-$A36,"")</f>
        <v/>
      </c>
    </row>
    <row r="37">
      <c r="A37" s="2" t="n"/>
      <c r="B37" s="3" t="n"/>
      <c r="C37" s="3" t="n"/>
      <c r="D37" s="3" t="n"/>
      <c r="E37" s="4" t="n"/>
      <c r="F37" s="3" t="n"/>
      <c r="G37" s="5" t="n"/>
      <c r="H37" s="6">
        <f>IF(AND($A37&lt;&gt;"",$F37="Envoyé"),TODAY()-$A37,"")</f>
        <v/>
      </c>
    </row>
    <row r="38">
      <c r="A38" s="2" t="n"/>
      <c r="B38" s="3" t="n"/>
      <c r="C38" s="3" t="n"/>
      <c r="D38" s="3" t="n"/>
      <c r="E38" s="4" t="n"/>
      <c r="F38" s="3" t="n"/>
      <c r="G38" s="5" t="n"/>
      <c r="H38" s="6">
        <f>IF(AND($A38&lt;&gt;"",$F38="Envoyé"),TODAY()-$A38,"")</f>
        <v/>
      </c>
    </row>
    <row r="39">
      <c r="A39" s="2" t="n"/>
      <c r="B39" s="3" t="n"/>
      <c r="C39" s="3" t="n"/>
      <c r="D39" s="3" t="n"/>
      <c r="E39" s="4" t="n"/>
      <c r="F39" s="3" t="n"/>
      <c r="G39" s="5" t="n"/>
      <c r="H39" s="6">
        <f>IF(AND($A39&lt;&gt;"",$F39="Envoyé"),TODAY()-$A39,"")</f>
        <v/>
      </c>
    </row>
    <row r="40">
      <c r="A40" s="2" t="n"/>
      <c r="B40" s="3" t="n"/>
      <c r="C40" s="3" t="n"/>
      <c r="D40" s="3" t="n"/>
      <c r="E40" s="4" t="n"/>
      <c r="F40" s="3" t="n"/>
      <c r="G40" s="5" t="n"/>
      <c r="H40" s="6">
        <f>IF(AND($A40&lt;&gt;"",$F40="Envoyé"),TODAY()-$A40,"")</f>
        <v/>
      </c>
    </row>
    <row r="41">
      <c r="A41" s="2" t="n"/>
      <c r="B41" s="3" t="n"/>
      <c r="C41" s="3" t="n"/>
      <c r="D41" s="3" t="n"/>
      <c r="E41" s="4" t="n"/>
      <c r="F41" s="3" t="n"/>
      <c r="G41" s="5" t="n"/>
      <c r="H41" s="6">
        <f>IF(AND($A41&lt;&gt;"",$F41="Envoyé"),TODAY()-$A41,"")</f>
        <v/>
      </c>
    </row>
    <row r="42">
      <c r="A42" s="2" t="n"/>
      <c r="B42" s="3" t="n"/>
      <c r="C42" s="3" t="n"/>
      <c r="D42" s="3" t="n"/>
      <c r="E42" s="4" t="n"/>
      <c r="F42" s="3" t="n"/>
      <c r="G42" s="5" t="n"/>
      <c r="H42" s="6">
        <f>IF(AND($A42&lt;&gt;"",$F42="Envoyé"),TODAY()-$A42,"")</f>
        <v/>
      </c>
    </row>
    <row r="43">
      <c r="A43" s="2" t="n"/>
      <c r="B43" s="3" t="n"/>
      <c r="C43" s="3" t="n"/>
      <c r="D43" s="3" t="n"/>
      <c r="E43" s="4" t="n"/>
      <c r="F43" s="3" t="n"/>
      <c r="G43" s="5" t="n"/>
      <c r="H43" s="6">
        <f>IF(AND($A43&lt;&gt;"",$F43="Envoyé"),TODAY()-$A43,"")</f>
        <v/>
      </c>
    </row>
    <row r="44">
      <c r="A44" s="2" t="n"/>
      <c r="B44" s="3" t="n"/>
      <c r="C44" s="3" t="n"/>
      <c r="D44" s="3" t="n"/>
      <c r="E44" s="4" t="n"/>
      <c r="F44" s="3" t="n"/>
      <c r="G44" s="5" t="n"/>
      <c r="H44" s="6">
        <f>IF(AND($A44&lt;&gt;"",$F44="Envoyé"),TODAY()-$A44,"")</f>
        <v/>
      </c>
    </row>
    <row r="45">
      <c r="A45" s="2" t="n"/>
      <c r="B45" s="3" t="n"/>
      <c r="C45" s="3" t="n"/>
      <c r="D45" s="3" t="n"/>
      <c r="E45" s="4" t="n"/>
      <c r="F45" s="3" t="n"/>
      <c r="G45" s="5" t="n"/>
      <c r="H45" s="6">
        <f>IF(AND($A45&lt;&gt;"",$F45="Envoyé"),TODAY()-$A45,"")</f>
        <v/>
      </c>
    </row>
    <row r="46">
      <c r="A46" s="2" t="n"/>
      <c r="B46" s="3" t="n"/>
      <c r="C46" s="3" t="n"/>
      <c r="D46" s="3" t="n"/>
      <c r="E46" s="4" t="n"/>
      <c r="F46" s="3" t="n"/>
      <c r="G46" s="5" t="n"/>
      <c r="H46" s="6">
        <f>IF(AND($A46&lt;&gt;"",$F46="Envoyé"),TODAY()-$A46,"")</f>
        <v/>
      </c>
    </row>
    <row r="47">
      <c r="A47" s="2" t="n"/>
      <c r="B47" s="3" t="n"/>
      <c r="C47" s="3" t="n"/>
      <c r="D47" s="3" t="n"/>
      <c r="E47" s="4" t="n"/>
      <c r="F47" s="3" t="n"/>
      <c r="G47" s="5" t="n"/>
      <c r="H47" s="6">
        <f>IF(AND($A47&lt;&gt;"",$F47="Envoyé"),TODAY()-$A47,"")</f>
        <v/>
      </c>
    </row>
    <row r="48">
      <c r="A48" s="2" t="n"/>
      <c r="B48" s="3" t="n"/>
      <c r="C48" s="3" t="n"/>
      <c r="D48" s="3" t="n"/>
      <c r="E48" s="4" t="n"/>
      <c r="F48" s="3" t="n"/>
      <c r="G48" s="5" t="n"/>
      <c r="H48" s="6">
        <f>IF(AND($A48&lt;&gt;"",$F48="Envoyé"),TODAY()-$A48,"")</f>
        <v/>
      </c>
    </row>
    <row r="49">
      <c r="A49" s="2" t="n"/>
      <c r="B49" s="3" t="n"/>
      <c r="C49" s="3" t="n"/>
      <c r="D49" s="3" t="n"/>
      <c r="E49" s="4" t="n"/>
      <c r="F49" s="3" t="n"/>
      <c r="G49" s="5" t="n"/>
      <c r="H49" s="6">
        <f>IF(AND($A49&lt;&gt;"",$F49="Envoyé"),TODAY()-$A49,"")</f>
        <v/>
      </c>
    </row>
    <row r="50">
      <c r="A50" s="2" t="n"/>
      <c r="B50" s="3" t="n"/>
      <c r="C50" s="3" t="n"/>
      <c r="D50" s="3" t="n"/>
      <c r="E50" s="4" t="n"/>
      <c r="F50" s="3" t="n"/>
      <c r="G50" s="5" t="n"/>
      <c r="H50" s="6">
        <f>IF(AND($A50&lt;&gt;"",$F50="Envoyé"),TODAY()-$A50,"")</f>
        <v/>
      </c>
    </row>
    <row r="51">
      <c r="A51" s="2" t="n"/>
      <c r="B51" s="3" t="n"/>
      <c r="C51" s="3" t="n"/>
      <c r="D51" s="3" t="n"/>
      <c r="E51" s="4" t="n"/>
      <c r="F51" s="3" t="n"/>
      <c r="G51" s="5" t="n"/>
      <c r="H51" s="6">
        <f>IF(AND($A51&lt;&gt;"",$F51="Envoyé"),TODAY()-$A51,"")</f>
        <v/>
      </c>
    </row>
    <row r="52">
      <c r="A52" s="2" t="n"/>
      <c r="B52" s="3" t="n"/>
      <c r="C52" s="3" t="n"/>
      <c r="D52" s="3" t="n"/>
      <c r="E52" s="4" t="n"/>
      <c r="F52" s="3" t="n"/>
      <c r="G52" s="5" t="n"/>
      <c r="H52" s="6">
        <f>IF(AND($A52&lt;&gt;"",$F52="Envoyé"),TODAY()-$A52,"")</f>
        <v/>
      </c>
    </row>
    <row r="53">
      <c r="A53" s="2" t="n"/>
      <c r="B53" s="3" t="n"/>
      <c r="C53" s="3" t="n"/>
      <c r="D53" s="3" t="n"/>
      <c r="E53" s="4" t="n"/>
      <c r="F53" s="3" t="n"/>
      <c r="G53" s="5" t="n"/>
      <c r="H53" s="6">
        <f>IF(AND($A53&lt;&gt;"",$F53="Envoyé"),TODAY()-$A53,"")</f>
        <v/>
      </c>
    </row>
    <row r="54">
      <c r="A54" s="2" t="n"/>
      <c r="B54" s="3" t="n"/>
      <c r="C54" s="3" t="n"/>
      <c r="D54" s="3" t="n"/>
      <c r="E54" s="4" t="n"/>
      <c r="F54" s="3" t="n"/>
      <c r="G54" s="5" t="n"/>
      <c r="H54" s="6">
        <f>IF(AND($A54&lt;&gt;"",$F54="Envoyé"),TODAY()-$A54,"")</f>
        <v/>
      </c>
    </row>
    <row r="55">
      <c r="A55" s="2" t="n"/>
      <c r="B55" s="3" t="n"/>
      <c r="C55" s="3" t="n"/>
      <c r="D55" s="3" t="n"/>
      <c r="E55" s="4" t="n"/>
      <c r="F55" s="3" t="n"/>
      <c r="G55" s="5" t="n"/>
      <c r="H55" s="6">
        <f>IF(AND($A55&lt;&gt;"",$F55="Envoyé"),TODAY()-$A55,"")</f>
        <v/>
      </c>
    </row>
    <row r="56">
      <c r="A56" s="2" t="n"/>
      <c r="B56" s="3" t="n"/>
      <c r="C56" s="3" t="n"/>
      <c r="D56" s="3" t="n"/>
      <c r="E56" s="4" t="n"/>
      <c r="F56" s="3" t="n"/>
      <c r="G56" s="5" t="n"/>
      <c r="H56" s="6">
        <f>IF(AND($A56&lt;&gt;"",$F56="Envoyé"),TODAY()-$A56,"")</f>
        <v/>
      </c>
    </row>
    <row r="57">
      <c r="A57" s="2" t="n"/>
      <c r="B57" s="3" t="n"/>
      <c r="C57" s="3" t="n"/>
      <c r="D57" s="3" t="n"/>
      <c r="E57" s="4" t="n"/>
      <c r="F57" s="3" t="n"/>
      <c r="G57" s="5" t="n"/>
      <c r="H57" s="6">
        <f>IF(AND($A57&lt;&gt;"",$F57="Envoyé"),TODAY()-$A57,"")</f>
        <v/>
      </c>
    </row>
    <row r="58">
      <c r="A58" s="2" t="n"/>
      <c r="B58" s="3" t="n"/>
      <c r="C58" s="3" t="n"/>
      <c r="D58" s="3" t="n"/>
      <c r="E58" s="4" t="n"/>
      <c r="F58" s="3" t="n"/>
      <c r="G58" s="5" t="n"/>
      <c r="H58" s="6">
        <f>IF(AND($A58&lt;&gt;"",$F58="Envoyé"),TODAY()-$A58,"")</f>
        <v/>
      </c>
    </row>
    <row r="59">
      <c r="A59" s="2" t="n"/>
      <c r="B59" s="3" t="n"/>
      <c r="C59" s="3" t="n"/>
      <c r="D59" s="3" t="n"/>
      <c r="E59" s="4" t="n"/>
      <c r="F59" s="3" t="n"/>
      <c r="G59" s="5" t="n"/>
      <c r="H59" s="6">
        <f>IF(AND($A59&lt;&gt;"",$F59="Envoyé"),TODAY()-$A59,"")</f>
        <v/>
      </c>
    </row>
    <row r="60">
      <c r="A60" s="2" t="n"/>
      <c r="B60" s="3" t="n"/>
      <c r="C60" s="3" t="n"/>
      <c r="D60" s="3" t="n"/>
      <c r="E60" s="4" t="n"/>
      <c r="F60" s="3" t="n"/>
      <c r="G60" s="5" t="n"/>
      <c r="H60" s="6">
        <f>IF(AND($A60&lt;&gt;"",$F60="Envoyé"),TODAY()-$A60,"")</f>
        <v/>
      </c>
    </row>
    <row r="61">
      <c r="A61" s="2" t="n"/>
      <c r="B61" s="3" t="n"/>
      <c r="C61" s="3" t="n"/>
      <c r="D61" s="3" t="n"/>
      <c r="E61" s="4" t="n"/>
      <c r="F61" s="3" t="n"/>
      <c r="G61" s="5" t="n"/>
      <c r="H61" s="6">
        <f>IF(AND($A61&lt;&gt;"",$F61="Envoyé"),TODAY()-$A61,"")</f>
        <v/>
      </c>
    </row>
    <row r="62">
      <c r="A62" s="2" t="n"/>
      <c r="B62" s="3" t="n"/>
      <c r="C62" s="3" t="n"/>
      <c r="D62" s="3" t="n"/>
      <c r="E62" s="4" t="n"/>
      <c r="F62" s="3" t="n"/>
      <c r="G62" s="5" t="n"/>
      <c r="H62" s="6">
        <f>IF(AND($A62&lt;&gt;"",$F62="Envoyé"),TODAY()-$A62,"")</f>
        <v/>
      </c>
    </row>
    <row r="63">
      <c r="A63" s="2" t="n"/>
      <c r="B63" s="3" t="n"/>
      <c r="C63" s="3" t="n"/>
      <c r="D63" s="3" t="n"/>
      <c r="E63" s="4" t="n"/>
      <c r="F63" s="3" t="n"/>
      <c r="G63" s="5" t="n"/>
      <c r="H63" s="6">
        <f>IF(AND($A63&lt;&gt;"",$F63="Envoyé"),TODAY()-$A63,"")</f>
        <v/>
      </c>
    </row>
    <row r="64">
      <c r="A64" s="2" t="n"/>
      <c r="B64" s="3" t="n"/>
      <c r="C64" s="3" t="n"/>
      <c r="D64" s="3" t="n"/>
      <c r="E64" s="4" t="n"/>
      <c r="F64" s="3" t="n"/>
      <c r="G64" s="5" t="n"/>
      <c r="H64" s="6">
        <f>IF(AND($A64&lt;&gt;"",$F64="Envoyé"),TODAY()-$A64,"")</f>
        <v/>
      </c>
    </row>
    <row r="65">
      <c r="A65" s="2" t="n"/>
      <c r="B65" s="3" t="n"/>
      <c r="C65" s="3" t="n"/>
      <c r="D65" s="3" t="n"/>
      <c r="E65" s="4" t="n"/>
      <c r="F65" s="3" t="n"/>
      <c r="G65" s="5" t="n"/>
      <c r="H65" s="6">
        <f>IF(AND($A65&lt;&gt;"",$F65="Envoyé"),TODAY()-$A65,"")</f>
        <v/>
      </c>
    </row>
    <row r="66">
      <c r="A66" s="2" t="n"/>
      <c r="B66" s="3" t="n"/>
      <c r="C66" s="3" t="n"/>
      <c r="D66" s="3" t="n"/>
      <c r="E66" s="4" t="n"/>
      <c r="F66" s="3" t="n"/>
      <c r="G66" s="5" t="n"/>
      <c r="H66" s="6">
        <f>IF(AND($A66&lt;&gt;"",$F66="Envoyé"),TODAY()-$A66,"")</f>
        <v/>
      </c>
    </row>
    <row r="67">
      <c r="A67" s="2" t="n"/>
      <c r="B67" s="3" t="n"/>
      <c r="C67" s="3" t="n"/>
      <c r="D67" s="3" t="n"/>
      <c r="E67" s="4" t="n"/>
      <c r="F67" s="3" t="n"/>
      <c r="G67" s="5" t="n"/>
      <c r="H67" s="6">
        <f>IF(AND($A67&lt;&gt;"",$F67="Envoyé"),TODAY()-$A67,"")</f>
        <v/>
      </c>
    </row>
    <row r="68">
      <c r="A68" s="2" t="n"/>
      <c r="B68" s="3" t="n"/>
      <c r="C68" s="3" t="n"/>
      <c r="D68" s="3" t="n"/>
      <c r="E68" s="4" t="n"/>
      <c r="F68" s="3" t="n"/>
      <c r="G68" s="5" t="n"/>
      <c r="H68" s="6">
        <f>IF(AND($A68&lt;&gt;"",$F68="Envoyé"),TODAY()-$A68,"")</f>
        <v/>
      </c>
    </row>
    <row r="69">
      <c r="A69" s="2" t="n"/>
      <c r="B69" s="3" t="n"/>
      <c r="C69" s="3" t="n"/>
      <c r="D69" s="3" t="n"/>
      <c r="E69" s="4" t="n"/>
      <c r="F69" s="3" t="n"/>
      <c r="G69" s="5" t="n"/>
      <c r="H69" s="6">
        <f>IF(AND($A69&lt;&gt;"",$F69="Envoyé"),TODAY()-$A69,"")</f>
        <v/>
      </c>
    </row>
    <row r="70">
      <c r="A70" s="2" t="n"/>
      <c r="B70" s="3" t="n"/>
      <c r="C70" s="3" t="n"/>
      <c r="D70" s="3" t="n"/>
      <c r="E70" s="4" t="n"/>
      <c r="F70" s="3" t="n"/>
      <c r="G70" s="5" t="n"/>
      <c r="H70" s="6">
        <f>IF(AND($A70&lt;&gt;"",$F70="Envoyé"),TODAY()-$A70,"")</f>
        <v/>
      </c>
    </row>
    <row r="71">
      <c r="A71" s="2" t="n"/>
      <c r="B71" s="3" t="n"/>
      <c r="C71" s="3" t="n"/>
      <c r="D71" s="3" t="n"/>
      <c r="E71" s="4" t="n"/>
      <c r="F71" s="3" t="n"/>
      <c r="G71" s="5" t="n"/>
      <c r="H71" s="6">
        <f>IF(AND($A71&lt;&gt;"",$F71="Envoyé"),TODAY()-$A71,"")</f>
        <v/>
      </c>
    </row>
    <row r="72">
      <c r="A72" s="2" t="n"/>
      <c r="B72" s="3" t="n"/>
      <c r="C72" s="3" t="n"/>
      <c r="D72" s="3" t="n"/>
      <c r="E72" s="4" t="n"/>
      <c r="F72" s="3" t="n"/>
      <c r="G72" s="5" t="n"/>
      <c r="H72" s="6">
        <f>IF(AND($A72&lt;&gt;"",$F72="Envoyé"),TODAY()-$A72,"")</f>
        <v/>
      </c>
    </row>
    <row r="73">
      <c r="A73" s="2" t="n"/>
      <c r="B73" s="3" t="n"/>
      <c r="C73" s="3" t="n"/>
      <c r="D73" s="3" t="n"/>
      <c r="E73" s="4" t="n"/>
      <c r="F73" s="3" t="n"/>
      <c r="G73" s="5" t="n"/>
      <c r="H73" s="6">
        <f>IF(AND($A73&lt;&gt;"",$F73="Envoyé"),TODAY()-$A73,"")</f>
        <v/>
      </c>
    </row>
    <row r="74">
      <c r="A74" s="2" t="n"/>
      <c r="B74" s="3" t="n"/>
      <c r="C74" s="3" t="n"/>
      <c r="D74" s="3" t="n"/>
      <c r="E74" s="4" t="n"/>
      <c r="F74" s="3" t="n"/>
      <c r="G74" s="5" t="n"/>
      <c r="H74" s="6">
        <f>IF(AND($A74&lt;&gt;"",$F74="Envoyé"),TODAY()-$A74,"")</f>
        <v/>
      </c>
    </row>
    <row r="75">
      <c r="A75" s="2" t="n"/>
      <c r="B75" s="3" t="n"/>
      <c r="C75" s="3" t="n"/>
      <c r="D75" s="3" t="n"/>
      <c r="E75" s="4" t="n"/>
      <c r="F75" s="3" t="n"/>
      <c r="G75" s="5" t="n"/>
      <c r="H75" s="6">
        <f>IF(AND($A75&lt;&gt;"",$F75="Envoyé"),TODAY()-$A75,"")</f>
        <v/>
      </c>
    </row>
    <row r="76">
      <c r="A76" s="2" t="n"/>
      <c r="B76" s="3" t="n"/>
      <c r="C76" s="3" t="n"/>
      <c r="D76" s="3" t="n"/>
      <c r="E76" s="4" t="n"/>
      <c r="F76" s="3" t="n"/>
      <c r="G76" s="5" t="n"/>
      <c r="H76" s="6">
        <f>IF(AND($A76&lt;&gt;"",$F76="Envoyé"),TODAY()-$A76,"")</f>
        <v/>
      </c>
    </row>
    <row r="77">
      <c r="A77" s="2" t="n"/>
      <c r="B77" s="3" t="n"/>
      <c r="C77" s="3" t="n"/>
      <c r="D77" s="3" t="n"/>
      <c r="E77" s="4" t="n"/>
      <c r="F77" s="3" t="n"/>
      <c r="G77" s="5" t="n"/>
      <c r="H77" s="6">
        <f>IF(AND($A77&lt;&gt;"",$F77="Envoyé"),TODAY()-$A77,"")</f>
        <v/>
      </c>
    </row>
    <row r="78">
      <c r="A78" s="2" t="n"/>
      <c r="B78" s="3" t="n"/>
      <c r="C78" s="3" t="n"/>
      <c r="D78" s="3" t="n"/>
      <c r="E78" s="4" t="n"/>
      <c r="F78" s="3" t="n"/>
      <c r="G78" s="5" t="n"/>
      <c r="H78" s="6">
        <f>IF(AND($A78&lt;&gt;"",$F78="Envoyé"),TODAY()-$A78,"")</f>
        <v/>
      </c>
    </row>
    <row r="79">
      <c r="A79" s="2" t="n"/>
      <c r="B79" s="3" t="n"/>
      <c r="C79" s="3" t="n"/>
      <c r="D79" s="3" t="n"/>
      <c r="E79" s="4" t="n"/>
      <c r="F79" s="3" t="n"/>
      <c r="G79" s="5" t="n"/>
      <c r="H79" s="6">
        <f>IF(AND($A79&lt;&gt;"",$F79="Envoyé"),TODAY()-$A79,"")</f>
        <v/>
      </c>
    </row>
    <row r="80">
      <c r="A80" s="2" t="n"/>
      <c r="B80" s="3" t="n"/>
      <c r="C80" s="3" t="n"/>
      <c r="D80" s="3" t="n"/>
      <c r="E80" s="4" t="n"/>
      <c r="F80" s="3" t="n"/>
      <c r="G80" s="5" t="n"/>
      <c r="H80" s="6">
        <f>IF(AND($A80&lt;&gt;"",$F80="Envoyé"),TODAY()-$A80,"")</f>
        <v/>
      </c>
    </row>
    <row r="81">
      <c r="A81" s="2" t="n"/>
      <c r="B81" s="3" t="n"/>
      <c r="C81" s="3" t="n"/>
      <c r="D81" s="3" t="n"/>
      <c r="E81" s="4" t="n"/>
      <c r="F81" s="3" t="n"/>
      <c r="G81" s="5" t="n"/>
      <c r="H81" s="6">
        <f>IF(AND($A81&lt;&gt;"",$F81="Envoyé"),TODAY()-$A81,"")</f>
        <v/>
      </c>
    </row>
    <row r="82">
      <c r="A82" s="2" t="n"/>
      <c r="B82" s="3" t="n"/>
      <c r="C82" s="3" t="n"/>
      <c r="D82" s="3" t="n"/>
      <c r="E82" s="4" t="n"/>
      <c r="F82" s="3" t="n"/>
      <c r="G82" s="5" t="n"/>
      <c r="H82" s="6">
        <f>IF(AND($A82&lt;&gt;"",$F82="Envoyé"),TODAY()-$A82,"")</f>
        <v/>
      </c>
    </row>
    <row r="83">
      <c r="A83" s="2" t="n"/>
      <c r="B83" s="3" t="n"/>
      <c r="C83" s="3" t="n"/>
      <c r="D83" s="3" t="n"/>
      <c r="E83" s="4" t="n"/>
      <c r="F83" s="3" t="n"/>
      <c r="G83" s="5" t="n"/>
      <c r="H83" s="6">
        <f>IF(AND($A83&lt;&gt;"",$F83="Envoyé"),TODAY()-$A83,"")</f>
        <v/>
      </c>
    </row>
    <row r="84">
      <c r="A84" s="2" t="n"/>
      <c r="B84" s="3" t="n"/>
      <c r="C84" s="3" t="n"/>
      <c r="D84" s="3" t="n"/>
      <c r="E84" s="4" t="n"/>
      <c r="F84" s="3" t="n"/>
      <c r="G84" s="5" t="n"/>
      <c r="H84" s="6">
        <f>IF(AND($A84&lt;&gt;"",$F84="Envoyé"),TODAY()-$A84,"")</f>
        <v/>
      </c>
    </row>
    <row r="85">
      <c r="A85" s="2" t="n"/>
      <c r="B85" s="3" t="n"/>
      <c r="C85" s="3" t="n"/>
      <c r="D85" s="3" t="n"/>
      <c r="E85" s="4" t="n"/>
      <c r="F85" s="3" t="n"/>
      <c r="G85" s="5" t="n"/>
      <c r="H85" s="6">
        <f>IF(AND($A85&lt;&gt;"",$F85="Envoyé"),TODAY()-$A85,"")</f>
        <v/>
      </c>
    </row>
    <row r="86">
      <c r="A86" s="2" t="n"/>
      <c r="B86" s="3" t="n"/>
      <c r="C86" s="3" t="n"/>
      <c r="D86" s="3" t="n"/>
      <c r="E86" s="4" t="n"/>
      <c r="F86" s="3" t="n"/>
      <c r="G86" s="5" t="n"/>
      <c r="H86" s="6">
        <f>IF(AND($A86&lt;&gt;"",$F86="Envoyé"),TODAY()-$A86,"")</f>
        <v/>
      </c>
    </row>
    <row r="87">
      <c r="A87" s="2" t="n"/>
      <c r="B87" s="3" t="n"/>
      <c r="C87" s="3" t="n"/>
      <c r="D87" s="3" t="n"/>
      <c r="E87" s="4" t="n"/>
      <c r="F87" s="3" t="n"/>
      <c r="G87" s="5" t="n"/>
      <c r="H87" s="6">
        <f>IF(AND($A87&lt;&gt;"",$F87="Envoyé"),TODAY()-$A87,"")</f>
        <v/>
      </c>
    </row>
    <row r="88">
      <c r="A88" s="2" t="n"/>
      <c r="B88" s="3" t="n"/>
      <c r="C88" s="3" t="n"/>
      <c r="D88" s="3" t="n"/>
      <c r="E88" s="4" t="n"/>
      <c r="F88" s="3" t="n"/>
      <c r="G88" s="5" t="n"/>
      <c r="H88" s="6">
        <f>IF(AND($A88&lt;&gt;"",$F88="Envoyé"),TODAY()-$A88,"")</f>
        <v/>
      </c>
    </row>
    <row r="89">
      <c r="A89" s="2" t="n"/>
      <c r="B89" s="3" t="n"/>
      <c r="C89" s="3" t="n"/>
      <c r="D89" s="3" t="n"/>
      <c r="E89" s="4" t="n"/>
      <c r="F89" s="3" t="n"/>
      <c r="G89" s="5" t="n"/>
      <c r="H89" s="6">
        <f>IF(AND($A89&lt;&gt;"",$F89="Envoyé"),TODAY()-$A89,"")</f>
        <v/>
      </c>
    </row>
    <row r="90">
      <c r="A90" s="2" t="n"/>
      <c r="B90" s="3" t="n"/>
      <c r="C90" s="3" t="n"/>
      <c r="D90" s="3" t="n"/>
      <c r="E90" s="4" t="n"/>
      <c r="F90" s="3" t="n"/>
      <c r="G90" s="5" t="n"/>
      <c r="H90" s="6">
        <f>IF(AND($A90&lt;&gt;"",$F90="Envoyé"),TODAY()-$A90,"")</f>
        <v/>
      </c>
    </row>
    <row r="91">
      <c r="A91" s="2" t="n"/>
      <c r="B91" s="3" t="n"/>
      <c r="C91" s="3" t="n"/>
      <c r="D91" s="3" t="n"/>
      <c r="E91" s="4" t="n"/>
      <c r="F91" s="3" t="n"/>
      <c r="G91" s="5" t="n"/>
      <c r="H91" s="6">
        <f>IF(AND($A91&lt;&gt;"",$F91="Envoyé"),TODAY()-$A91,"")</f>
        <v/>
      </c>
    </row>
    <row r="92">
      <c r="A92" s="2" t="n"/>
      <c r="B92" s="3" t="n"/>
      <c r="C92" s="3" t="n"/>
      <c r="D92" s="3" t="n"/>
      <c r="E92" s="4" t="n"/>
      <c r="F92" s="3" t="n"/>
      <c r="G92" s="5" t="n"/>
      <c r="H92" s="6">
        <f>IF(AND($A92&lt;&gt;"",$F92="Envoyé"),TODAY()-$A92,"")</f>
        <v/>
      </c>
    </row>
    <row r="93">
      <c r="A93" s="2" t="n"/>
      <c r="B93" s="3" t="n"/>
      <c r="C93" s="3" t="n"/>
      <c r="D93" s="3" t="n"/>
      <c r="E93" s="4" t="n"/>
      <c r="F93" s="3" t="n"/>
      <c r="G93" s="5" t="n"/>
      <c r="H93" s="6">
        <f>IF(AND($A93&lt;&gt;"",$F93="Envoyé"),TODAY()-$A93,"")</f>
        <v/>
      </c>
    </row>
    <row r="94">
      <c r="A94" s="2" t="n"/>
      <c r="B94" s="3" t="n"/>
      <c r="C94" s="3" t="n"/>
      <c r="D94" s="3" t="n"/>
      <c r="E94" s="4" t="n"/>
      <c r="F94" s="3" t="n"/>
      <c r="G94" s="5" t="n"/>
      <c r="H94" s="6">
        <f>IF(AND($A94&lt;&gt;"",$F94="Envoyé"),TODAY()-$A94,"")</f>
        <v/>
      </c>
    </row>
    <row r="95">
      <c r="A95" s="2" t="n"/>
      <c r="B95" s="3" t="n"/>
      <c r="C95" s="3" t="n"/>
      <c r="D95" s="3" t="n"/>
      <c r="E95" s="4" t="n"/>
      <c r="F95" s="3" t="n"/>
      <c r="G95" s="5" t="n"/>
      <c r="H95" s="6">
        <f>IF(AND($A95&lt;&gt;"",$F95="Envoyé"),TODAY()-$A95,"")</f>
        <v/>
      </c>
    </row>
    <row r="96">
      <c r="A96" s="2" t="n"/>
      <c r="B96" s="3" t="n"/>
      <c r="C96" s="3" t="n"/>
      <c r="D96" s="3" t="n"/>
      <c r="E96" s="4" t="n"/>
      <c r="F96" s="3" t="n"/>
      <c r="G96" s="5" t="n"/>
      <c r="H96" s="6">
        <f>IF(AND($A96&lt;&gt;"",$F96="Envoyé"),TODAY()-$A96,"")</f>
        <v/>
      </c>
    </row>
    <row r="97">
      <c r="A97" s="2" t="n"/>
      <c r="B97" s="3" t="n"/>
      <c r="C97" s="3" t="n"/>
      <c r="D97" s="3" t="n"/>
      <c r="E97" s="4" t="n"/>
      <c r="F97" s="3" t="n"/>
      <c r="G97" s="5" t="n"/>
      <c r="H97" s="6">
        <f>IF(AND($A97&lt;&gt;"",$F97="Envoyé"),TODAY()-$A97,"")</f>
        <v/>
      </c>
    </row>
    <row r="98">
      <c r="A98" s="2" t="n"/>
      <c r="B98" s="3" t="n"/>
      <c r="C98" s="3" t="n"/>
      <c r="D98" s="3" t="n"/>
      <c r="E98" s="4" t="n"/>
      <c r="F98" s="3" t="n"/>
      <c r="G98" s="5" t="n"/>
      <c r="H98" s="6">
        <f>IF(AND($A98&lt;&gt;"",$F98="Envoyé"),TODAY()-$A98,"")</f>
        <v/>
      </c>
    </row>
    <row r="99">
      <c r="A99" s="2" t="n"/>
      <c r="B99" s="3" t="n"/>
      <c r="C99" s="3" t="n"/>
      <c r="D99" s="3" t="n"/>
      <c r="E99" s="4" t="n"/>
      <c r="F99" s="3" t="n"/>
      <c r="G99" s="5" t="n"/>
      <c r="H99" s="6">
        <f>IF(AND($A99&lt;&gt;"",$F99="Envoyé"),TODAY()-$A99,"")</f>
        <v/>
      </c>
    </row>
    <row r="100">
      <c r="A100" s="2" t="n"/>
      <c r="B100" s="3" t="n"/>
      <c r="C100" s="3" t="n"/>
      <c r="D100" s="3" t="n"/>
      <c r="E100" s="4" t="n"/>
      <c r="F100" s="3" t="n"/>
      <c r="G100" s="5" t="n"/>
      <c r="H100" s="6">
        <f>IF(AND($A100&lt;&gt;"",$F100="Envoyé"),TODAY()-$A100,"")</f>
        <v/>
      </c>
    </row>
    <row r="101">
      <c r="A101" s="2" t="n"/>
      <c r="B101" s="3" t="n"/>
      <c r="C101" s="3" t="n"/>
      <c r="D101" s="3" t="n"/>
      <c r="E101" s="4" t="n"/>
      <c r="F101" s="3" t="n"/>
      <c r="G101" s="5" t="n"/>
      <c r="H101" s="6">
        <f>IF(AND($A101&lt;&gt;"",$F101="Envoyé"),TODAY()-$A101,"")</f>
        <v/>
      </c>
    </row>
    <row r="102">
      <c r="A102" s="2" t="n"/>
      <c r="B102" s="3" t="n"/>
      <c r="C102" s="3" t="n"/>
      <c r="D102" s="3" t="n"/>
      <c r="E102" s="4" t="n"/>
      <c r="F102" s="3" t="n"/>
      <c r="G102" s="5" t="n"/>
      <c r="H102" s="6">
        <f>IF(AND($A102&lt;&gt;"",$F102="Envoyé"),TODAY()-$A102,"")</f>
        <v/>
      </c>
    </row>
    <row r="103">
      <c r="A103" s="2" t="n"/>
      <c r="B103" s="3" t="n"/>
      <c r="C103" s="3" t="n"/>
      <c r="D103" s="3" t="n"/>
      <c r="E103" s="4" t="n"/>
      <c r="F103" s="3" t="n"/>
      <c r="G103" s="5" t="n"/>
      <c r="H103" s="6">
        <f>IF(AND($A103&lt;&gt;"",$F103="Envoyé"),TODAY()-$A103,"")</f>
        <v/>
      </c>
    </row>
    <row r="104">
      <c r="A104" s="2" t="n"/>
      <c r="B104" s="3" t="n"/>
      <c r="C104" s="3" t="n"/>
      <c r="D104" s="3" t="n"/>
      <c r="E104" s="4" t="n"/>
      <c r="F104" s="3" t="n"/>
      <c r="G104" s="5" t="n"/>
      <c r="H104" s="6">
        <f>IF(AND($A104&lt;&gt;"",$F104="Envoyé"),TODAY()-$A104,"")</f>
        <v/>
      </c>
    </row>
    <row r="105">
      <c r="A105" s="2" t="n"/>
      <c r="B105" s="3" t="n"/>
      <c r="C105" s="3" t="n"/>
      <c r="D105" s="3" t="n"/>
      <c r="E105" s="4" t="n"/>
      <c r="F105" s="3" t="n"/>
      <c r="G105" s="5" t="n"/>
      <c r="H105" s="6">
        <f>IF(AND($A105&lt;&gt;"",$F105="Envoyé"),TODAY()-$A105,"")</f>
        <v/>
      </c>
    </row>
    <row r="106">
      <c r="A106" s="2" t="n"/>
      <c r="B106" s="3" t="n"/>
      <c r="C106" s="3" t="n"/>
      <c r="D106" s="3" t="n"/>
      <c r="E106" s="4" t="n"/>
      <c r="F106" s="3" t="n"/>
      <c r="G106" s="5" t="n"/>
      <c r="H106" s="6">
        <f>IF(AND($A106&lt;&gt;"",$F106="Envoyé"),TODAY()-$A106,"")</f>
        <v/>
      </c>
    </row>
    <row r="107">
      <c r="A107" s="2" t="n"/>
      <c r="B107" s="3" t="n"/>
      <c r="C107" s="3" t="n"/>
      <c r="D107" s="3" t="n"/>
      <c r="E107" s="4" t="n"/>
      <c r="F107" s="3" t="n"/>
      <c r="G107" s="5" t="n"/>
      <c r="H107" s="6">
        <f>IF(AND($A107&lt;&gt;"",$F107="Envoyé"),TODAY()-$A107,"")</f>
        <v/>
      </c>
    </row>
    <row r="108">
      <c r="A108" s="2" t="n"/>
      <c r="B108" s="3" t="n"/>
      <c r="C108" s="3" t="n"/>
      <c r="D108" s="3" t="n"/>
      <c r="E108" s="4" t="n"/>
      <c r="F108" s="3" t="n"/>
      <c r="G108" s="5" t="n"/>
      <c r="H108" s="6">
        <f>IF(AND($A108&lt;&gt;"",$F108="Envoyé"),TODAY()-$A108,"")</f>
        <v/>
      </c>
    </row>
    <row r="109">
      <c r="A109" s="2" t="n"/>
      <c r="B109" s="3" t="n"/>
      <c r="C109" s="3" t="n"/>
      <c r="D109" s="3" t="n"/>
      <c r="E109" s="4" t="n"/>
      <c r="F109" s="3" t="n"/>
      <c r="G109" s="5" t="n"/>
      <c r="H109" s="6">
        <f>IF(AND($A109&lt;&gt;"",$F109="Envoyé"),TODAY()-$A109,"")</f>
        <v/>
      </c>
    </row>
    <row r="110">
      <c r="A110" s="2" t="n"/>
      <c r="B110" s="3" t="n"/>
      <c r="C110" s="3" t="n"/>
      <c r="D110" s="3" t="n"/>
      <c r="E110" s="4" t="n"/>
      <c r="F110" s="3" t="n"/>
      <c r="G110" s="5" t="n"/>
      <c r="H110" s="6">
        <f>IF(AND($A110&lt;&gt;"",$F110="Envoyé"),TODAY()-$A110,"")</f>
        <v/>
      </c>
    </row>
    <row r="111">
      <c r="A111" s="2" t="n"/>
      <c r="B111" s="3" t="n"/>
      <c r="C111" s="3" t="n"/>
      <c r="D111" s="3" t="n"/>
      <c r="E111" s="4" t="n"/>
      <c r="F111" s="3" t="n"/>
      <c r="G111" s="5" t="n"/>
      <c r="H111" s="6">
        <f>IF(AND($A111&lt;&gt;"",$F111="Envoyé"),TODAY()-$A111,"")</f>
        <v/>
      </c>
    </row>
    <row r="112">
      <c r="A112" s="2" t="n"/>
      <c r="B112" s="3" t="n"/>
      <c r="C112" s="3" t="n"/>
      <c r="D112" s="3" t="n"/>
      <c r="E112" s="4" t="n"/>
      <c r="F112" s="3" t="n"/>
      <c r="G112" s="5" t="n"/>
      <c r="H112" s="6">
        <f>IF(AND($A112&lt;&gt;"",$F112="Envoyé"),TODAY()-$A112,"")</f>
        <v/>
      </c>
    </row>
    <row r="113">
      <c r="A113" s="2" t="n"/>
      <c r="B113" s="3" t="n"/>
      <c r="C113" s="3" t="n"/>
      <c r="D113" s="3" t="n"/>
      <c r="E113" s="4" t="n"/>
      <c r="F113" s="3" t="n"/>
      <c r="G113" s="5" t="n"/>
      <c r="H113" s="6">
        <f>IF(AND($A113&lt;&gt;"",$F113="Envoyé"),TODAY()-$A113,"")</f>
        <v/>
      </c>
    </row>
    <row r="114">
      <c r="A114" s="2" t="n"/>
      <c r="B114" s="3" t="n"/>
      <c r="C114" s="3" t="n"/>
      <c r="D114" s="3" t="n"/>
      <c r="E114" s="4" t="n"/>
      <c r="F114" s="3" t="n"/>
      <c r="G114" s="5" t="n"/>
      <c r="H114" s="6">
        <f>IF(AND($A114&lt;&gt;"",$F114="Envoyé"),TODAY()-$A114,"")</f>
        <v/>
      </c>
    </row>
    <row r="115">
      <c r="A115" s="2" t="n"/>
      <c r="B115" s="3" t="n"/>
      <c r="C115" s="3" t="n"/>
      <c r="D115" s="3" t="n"/>
      <c r="E115" s="4" t="n"/>
      <c r="F115" s="3" t="n"/>
      <c r="G115" s="5" t="n"/>
      <c r="H115" s="6">
        <f>IF(AND($A115&lt;&gt;"",$F115="Envoyé"),TODAY()-$A115,"")</f>
        <v/>
      </c>
    </row>
    <row r="116">
      <c r="A116" s="2" t="n"/>
      <c r="B116" s="3" t="n"/>
      <c r="C116" s="3" t="n"/>
      <c r="D116" s="3" t="n"/>
      <c r="E116" s="4" t="n"/>
      <c r="F116" s="3" t="n"/>
      <c r="G116" s="5" t="n"/>
      <c r="H116" s="6">
        <f>IF(AND($A116&lt;&gt;"",$F116="Envoyé"),TODAY()-$A116,"")</f>
        <v/>
      </c>
    </row>
    <row r="117">
      <c r="A117" s="2" t="n"/>
      <c r="B117" s="3" t="n"/>
      <c r="C117" s="3" t="n"/>
      <c r="D117" s="3" t="n"/>
      <c r="E117" s="4" t="n"/>
      <c r="F117" s="3" t="n"/>
      <c r="G117" s="5" t="n"/>
      <c r="H117" s="6">
        <f>IF(AND($A117&lt;&gt;"",$F117="Envoyé"),TODAY()-$A117,"")</f>
        <v/>
      </c>
    </row>
    <row r="118">
      <c r="A118" s="2" t="n"/>
      <c r="B118" s="3" t="n"/>
      <c r="C118" s="3" t="n"/>
      <c r="D118" s="3" t="n"/>
      <c r="E118" s="4" t="n"/>
      <c r="F118" s="3" t="n"/>
      <c r="G118" s="5" t="n"/>
      <c r="H118" s="6">
        <f>IF(AND($A118&lt;&gt;"",$F118="Envoyé"),TODAY()-$A118,"")</f>
        <v/>
      </c>
    </row>
    <row r="119">
      <c r="A119" s="2" t="n"/>
      <c r="B119" s="3" t="n"/>
      <c r="C119" s="3" t="n"/>
      <c r="D119" s="3" t="n"/>
      <c r="E119" s="4" t="n"/>
      <c r="F119" s="3" t="n"/>
      <c r="G119" s="5" t="n"/>
      <c r="H119" s="6">
        <f>IF(AND($A119&lt;&gt;"",$F119="Envoyé"),TODAY()-$A119,"")</f>
        <v/>
      </c>
    </row>
    <row r="120">
      <c r="A120" s="2" t="n"/>
      <c r="B120" s="3" t="n"/>
      <c r="C120" s="3" t="n"/>
      <c r="D120" s="3" t="n"/>
      <c r="E120" s="4" t="n"/>
      <c r="F120" s="3" t="n"/>
      <c r="G120" s="5" t="n"/>
      <c r="H120" s="6">
        <f>IF(AND($A120&lt;&gt;"",$F120="Envoyé"),TODAY()-$A120,"")</f>
        <v/>
      </c>
    </row>
    <row r="121">
      <c r="A121" s="2" t="n"/>
      <c r="B121" s="3" t="n"/>
      <c r="C121" s="3" t="n"/>
      <c r="D121" s="3" t="n"/>
      <c r="E121" s="4" t="n"/>
      <c r="F121" s="3" t="n"/>
      <c r="G121" s="5" t="n"/>
      <c r="H121" s="6">
        <f>IF(AND($A121&lt;&gt;"",$F121="Envoyé"),TODAY()-$A121,"")</f>
        <v/>
      </c>
    </row>
    <row r="122">
      <c r="A122" s="2" t="n"/>
      <c r="B122" s="3" t="n"/>
      <c r="C122" s="3" t="n"/>
      <c r="D122" s="3" t="n"/>
      <c r="E122" s="4" t="n"/>
      <c r="F122" s="3" t="n"/>
      <c r="G122" s="5" t="n"/>
      <c r="H122" s="6">
        <f>IF(AND($A122&lt;&gt;"",$F122="Envoyé"),TODAY()-$A122,"")</f>
        <v/>
      </c>
    </row>
    <row r="123">
      <c r="A123" s="2" t="n"/>
      <c r="B123" s="3" t="n"/>
      <c r="C123" s="3" t="n"/>
      <c r="D123" s="3" t="n"/>
      <c r="E123" s="4" t="n"/>
      <c r="F123" s="3" t="n"/>
      <c r="G123" s="5" t="n"/>
      <c r="H123" s="6">
        <f>IF(AND($A123&lt;&gt;"",$F123="Envoyé"),TODAY()-$A123,"")</f>
        <v/>
      </c>
    </row>
    <row r="124">
      <c r="A124" s="2" t="n"/>
      <c r="B124" s="3" t="n"/>
      <c r="C124" s="3" t="n"/>
      <c r="D124" s="3" t="n"/>
      <c r="E124" s="4" t="n"/>
      <c r="F124" s="3" t="n"/>
      <c r="G124" s="5" t="n"/>
      <c r="H124" s="6">
        <f>IF(AND($A124&lt;&gt;"",$F124="Envoyé"),TODAY()-$A124,"")</f>
        <v/>
      </c>
    </row>
    <row r="125">
      <c r="A125" s="2" t="n"/>
      <c r="B125" s="3" t="n"/>
      <c r="C125" s="3" t="n"/>
      <c r="D125" s="3" t="n"/>
      <c r="E125" s="4" t="n"/>
      <c r="F125" s="3" t="n"/>
      <c r="G125" s="5" t="n"/>
      <c r="H125" s="6">
        <f>IF(AND($A125&lt;&gt;"",$F125="Envoyé"),TODAY()-$A125,"")</f>
        <v/>
      </c>
    </row>
    <row r="126">
      <c r="A126" s="2" t="n"/>
      <c r="B126" s="3" t="n"/>
      <c r="C126" s="3" t="n"/>
      <c r="D126" s="3" t="n"/>
      <c r="E126" s="4" t="n"/>
      <c r="F126" s="3" t="n"/>
      <c r="G126" s="5" t="n"/>
      <c r="H126" s="6">
        <f>IF(AND($A126&lt;&gt;"",$F126="Envoyé"),TODAY()-$A126,"")</f>
        <v/>
      </c>
    </row>
    <row r="127">
      <c r="A127" s="2" t="n"/>
      <c r="B127" s="3" t="n"/>
      <c r="C127" s="3" t="n"/>
      <c r="D127" s="3" t="n"/>
      <c r="E127" s="4" t="n"/>
      <c r="F127" s="3" t="n"/>
      <c r="G127" s="5" t="n"/>
      <c r="H127" s="6">
        <f>IF(AND($A127&lt;&gt;"",$F127="Envoyé"),TODAY()-$A127,"")</f>
        <v/>
      </c>
    </row>
    <row r="128">
      <c r="A128" s="2" t="n"/>
      <c r="B128" s="3" t="n"/>
      <c r="C128" s="3" t="n"/>
      <c r="D128" s="3" t="n"/>
      <c r="E128" s="4" t="n"/>
      <c r="F128" s="3" t="n"/>
      <c r="G128" s="5" t="n"/>
      <c r="H128" s="6">
        <f>IF(AND($A128&lt;&gt;"",$F128="Envoyé"),TODAY()-$A128,"")</f>
        <v/>
      </c>
    </row>
    <row r="129">
      <c r="A129" s="2" t="n"/>
      <c r="B129" s="3" t="n"/>
      <c r="C129" s="3" t="n"/>
      <c r="D129" s="3" t="n"/>
      <c r="E129" s="4" t="n"/>
      <c r="F129" s="3" t="n"/>
      <c r="G129" s="5" t="n"/>
      <c r="H129" s="6">
        <f>IF(AND($A129&lt;&gt;"",$F129="Envoyé"),TODAY()-$A129,"")</f>
        <v/>
      </c>
    </row>
    <row r="130">
      <c r="A130" s="2" t="n"/>
      <c r="B130" s="3" t="n"/>
      <c r="C130" s="3" t="n"/>
      <c r="D130" s="3" t="n"/>
      <c r="E130" s="4" t="n"/>
      <c r="F130" s="3" t="n"/>
      <c r="G130" s="5" t="n"/>
      <c r="H130" s="6">
        <f>IF(AND($A130&lt;&gt;"",$F130="Envoyé"),TODAY()-$A130,"")</f>
        <v/>
      </c>
    </row>
    <row r="131">
      <c r="A131" s="2" t="n"/>
      <c r="B131" s="3" t="n"/>
      <c r="C131" s="3" t="n"/>
      <c r="D131" s="3" t="n"/>
      <c r="E131" s="4" t="n"/>
      <c r="F131" s="3" t="n"/>
      <c r="G131" s="5" t="n"/>
      <c r="H131" s="6">
        <f>IF(AND($A131&lt;&gt;"",$F131="Envoyé"),TODAY()-$A131,"")</f>
        <v/>
      </c>
    </row>
    <row r="132">
      <c r="A132" s="2" t="n"/>
      <c r="B132" s="3" t="n"/>
      <c r="C132" s="3" t="n"/>
      <c r="D132" s="3" t="n"/>
      <c r="E132" s="4" t="n"/>
      <c r="F132" s="3" t="n"/>
      <c r="G132" s="5" t="n"/>
      <c r="H132" s="6">
        <f>IF(AND($A132&lt;&gt;"",$F132="Envoyé"),TODAY()-$A132,"")</f>
        <v/>
      </c>
    </row>
    <row r="133">
      <c r="A133" s="2" t="n"/>
      <c r="B133" s="3" t="n"/>
      <c r="C133" s="3" t="n"/>
      <c r="D133" s="3" t="n"/>
      <c r="E133" s="4" t="n"/>
      <c r="F133" s="3" t="n"/>
      <c r="G133" s="5" t="n"/>
      <c r="H133" s="6">
        <f>IF(AND($A133&lt;&gt;"",$F133="Envoyé"),TODAY()-$A133,"")</f>
        <v/>
      </c>
    </row>
    <row r="134">
      <c r="A134" s="2" t="n"/>
      <c r="B134" s="3" t="n"/>
      <c r="C134" s="3" t="n"/>
      <c r="D134" s="3" t="n"/>
      <c r="E134" s="4" t="n"/>
      <c r="F134" s="3" t="n"/>
      <c r="G134" s="5" t="n"/>
      <c r="H134" s="6">
        <f>IF(AND($A134&lt;&gt;"",$F134="Envoyé"),TODAY()-$A134,"")</f>
        <v/>
      </c>
    </row>
    <row r="135">
      <c r="A135" s="2" t="n"/>
      <c r="B135" s="3" t="n"/>
      <c r="C135" s="3" t="n"/>
      <c r="D135" s="3" t="n"/>
      <c r="E135" s="4" t="n"/>
      <c r="F135" s="3" t="n"/>
      <c r="G135" s="5" t="n"/>
      <c r="H135" s="6">
        <f>IF(AND($A135&lt;&gt;"",$F135="Envoyé"),TODAY()-$A135,"")</f>
        <v/>
      </c>
    </row>
    <row r="136">
      <c r="A136" s="2" t="n"/>
      <c r="B136" s="3" t="n"/>
      <c r="C136" s="3" t="n"/>
      <c r="D136" s="3" t="n"/>
      <c r="E136" s="4" t="n"/>
      <c r="F136" s="3" t="n"/>
      <c r="G136" s="5" t="n"/>
      <c r="H136" s="6">
        <f>IF(AND($A136&lt;&gt;"",$F136="Envoyé"),TODAY()-$A136,"")</f>
        <v/>
      </c>
    </row>
    <row r="137">
      <c r="A137" s="2" t="n"/>
      <c r="B137" s="3" t="n"/>
      <c r="C137" s="3" t="n"/>
      <c r="D137" s="3" t="n"/>
      <c r="E137" s="4" t="n"/>
      <c r="F137" s="3" t="n"/>
      <c r="G137" s="5" t="n"/>
      <c r="H137" s="6">
        <f>IF(AND($A137&lt;&gt;"",$F137="Envoyé"),TODAY()-$A137,"")</f>
        <v/>
      </c>
    </row>
    <row r="138">
      <c r="A138" s="2" t="n"/>
      <c r="B138" s="3" t="n"/>
      <c r="C138" s="3" t="n"/>
      <c r="D138" s="3" t="n"/>
      <c r="E138" s="4" t="n"/>
      <c r="F138" s="3" t="n"/>
      <c r="G138" s="5" t="n"/>
      <c r="H138" s="6">
        <f>IF(AND($A138&lt;&gt;"",$F138="Envoyé"),TODAY()-$A138,"")</f>
        <v/>
      </c>
    </row>
    <row r="139">
      <c r="A139" s="2" t="n"/>
      <c r="B139" s="3" t="n"/>
      <c r="C139" s="3" t="n"/>
      <c r="D139" s="3" t="n"/>
      <c r="E139" s="4" t="n"/>
      <c r="F139" s="3" t="n"/>
      <c r="G139" s="5" t="n"/>
      <c r="H139" s="6">
        <f>IF(AND($A139&lt;&gt;"",$F139="Envoyé"),TODAY()-$A139,"")</f>
        <v/>
      </c>
    </row>
    <row r="140">
      <c r="A140" s="2" t="n"/>
      <c r="B140" s="3" t="n"/>
      <c r="C140" s="3" t="n"/>
      <c r="D140" s="3" t="n"/>
      <c r="E140" s="4" t="n"/>
      <c r="F140" s="3" t="n"/>
      <c r="G140" s="5" t="n"/>
      <c r="H140" s="6">
        <f>IF(AND($A140&lt;&gt;"",$F140="Envoyé"),TODAY()-$A140,"")</f>
        <v/>
      </c>
    </row>
    <row r="141">
      <c r="A141" s="2" t="n"/>
      <c r="B141" s="3" t="n"/>
      <c r="C141" s="3" t="n"/>
      <c r="D141" s="3" t="n"/>
      <c r="E141" s="4" t="n"/>
      <c r="F141" s="3" t="n"/>
      <c r="G141" s="5" t="n"/>
      <c r="H141" s="6">
        <f>IF(AND($A141&lt;&gt;"",$F141="Envoyé"),TODAY()-$A141,"")</f>
        <v/>
      </c>
    </row>
    <row r="142">
      <c r="A142" s="2" t="n"/>
      <c r="B142" s="3" t="n"/>
      <c r="C142" s="3" t="n"/>
      <c r="D142" s="3" t="n"/>
      <c r="E142" s="4" t="n"/>
      <c r="F142" s="3" t="n"/>
      <c r="G142" s="5" t="n"/>
      <c r="H142" s="6">
        <f>IF(AND($A142&lt;&gt;"",$F142="Envoyé"),TODAY()-$A142,"")</f>
        <v/>
      </c>
    </row>
    <row r="143">
      <c r="A143" s="2" t="n"/>
      <c r="B143" s="3" t="n"/>
      <c r="C143" s="3" t="n"/>
      <c r="D143" s="3" t="n"/>
      <c r="E143" s="4" t="n"/>
      <c r="F143" s="3" t="n"/>
      <c r="G143" s="5" t="n"/>
      <c r="H143" s="6">
        <f>IF(AND($A143&lt;&gt;"",$F143="Envoyé"),TODAY()-$A143,"")</f>
        <v/>
      </c>
    </row>
    <row r="144">
      <c r="A144" s="2" t="n"/>
      <c r="B144" s="3" t="n"/>
      <c r="C144" s="3" t="n"/>
      <c r="D144" s="3" t="n"/>
      <c r="E144" s="4" t="n"/>
      <c r="F144" s="3" t="n"/>
      <c r="G144" s="5" t="n"/>
      <c r="H144" s="6">
        <f>IF(AND($A144&lt;&gt;"",$F144="Envoyé"),TODAY()-$A144,"")</f>
        <v/>
      </c>
    </row>
    <row r="145">
      <c r="A145" s="2" t="n"/>
      <c r="B145" s="3" t="n"/>
      <c r="C145" s="3" t="n"/>
      <c r="D145" s="3" t="n"/>
      <c r="E145" s="4" t="n"/>
      <c r="F145" s="3" t="n"/>
      <c r="G145" s="5" t="n"/>
      <c r="H145" s="6">
        <f>IF(AND($A145&lt;&gt;"",$F145="Envoyé"),TODAY()-$A145,"")</f>
        <v/>
      </c>
    </row>
    <row r="146">
      <c r="A146" s="2" t="n"/>
      <c r="B146" s="3" t="n"/>
      <c r="C146" s="3" t="n"/>
      <c r="D146" s="3" t="n"/>
      <c r="E146" s="4" t="n"/>
      <c r="F146" s="3" t="n"/>
      <c r="G146" s="5" t="n"/>
      <c r="H146" s="6">
        <f>IF(AND($A146&lt;&gt;"",$F146="Envoyé"),TODAY()-$A146,"")</f>
        <v/>
      </c>
    </row>
    <row r="147">
      <c r="A147" s="2" t="n"/>
      <c r="B147" s="3" t="n"/>
      <c r="C147" s="3" t="n"/>
      <c r="D147" s="3" t="n"/>
      <c r="E147" s="4" t="n"/>
      <c r="F147" s="3" t="n"/>
      <c r="G147" s="5" t="n"/>
      <c r="H147" s="6">
        <f>IF(AND($A147&lt;&gt;"",$F147="Envoyé"),TODAY()-$A147,"")</f>
        <v/>
      </c>
    </row>
    <row r="148">
      <c r="A148" s="2" t="n"/>
      <c r="B148" s="3" t="n"/>
      <c r="C148" s="3" t="n"/>
      <c r="D148" s="3" t="n"/>
      <c r="E148" s="4" t="n"/>
      <c r="F148" s="3" t="n"/>
      <c r="G148" s="5" t="n"/>
      <c r="H148" s="6">
        <f>IF(AND($A148&lt;&gt;"",$F148="Envoyé"),TODAY()-$A148,"")</f>
        <v/>
      </c>
    </row>
    <row r="149">
      <c r="A149" s="2" t="n"/>
      <c r="B149" s="3" t="n"/>
      <c r="C149" s="3" t="n"/>
      <c r="D149" s="3" t="n"/>
      <c r="E149" s="4" t="n"/>
      <c r="F149" s="3" t="n"/>
      <c r="G149" s="5" t="n"/>
      <c r="H149" s="6">
        <f>IF(AND($A149&lt;&gt;"",$F149="Envoyé"),TODAY()-$A149,"")</f>
        <v/>
      </c>
    </row>
    <row r="150">
      <c r="A150" s="2" t="n"/>
      <c r="B150" s="3" t="n"/>
      <c r="C150" s="3" t="n"/>
      <c r="D150" s="3" t="n"/>
      <c r="E150" s="4" t="n"/>
      <c r="F150" s="3" t="n"/>
      <c r="G150" s="5" t="n"/>
      <c r="H150" s="6">
        <f>IF(AND($A150&lt;&gt;"",$F150="Envoyé"),TODAY()-$A150,"")</f>
        <v/>
      </c>
    </row>
    <row r="151">
      <c r="A151" s="2" t="n"/>
      <c r="B151" s="3" t="n"/>
      <c r="C151" s="3" t="n"/>
      <c r="D151" s="3" t="n"/>
      <c r="E151" s="4" t="n"/>
      <c r="F151" s="3" t="n"/>
      <c r="G151" s="5" t="n"/>
      <c r="H151" s="6">
        <f>IF(AND($A151&lt;&gt;"",$F151="Envoyé"),TODAY()-$A151,"")</f>
        <v/>
      </c>
    </row>
  </sheetData>
  <conditionalFormatting sqref="F2:F151">
    <cfRule type="cellIs" priority="1" operator="equal" dxfId="0">
      <formula>"Envoyé"</formula>
    </cfRule>
    <cfRule type="cellIs" priority="2" operator="equal" dxfId="1">
      <formula>"Accepté"</formula>
    </cfRule>
  </conditionalFormatting>
  <conditionalFormatting sqref="E2:E151">
    <cfRule type="expression" priority="3" dxfId="2">
      <formula>AND($E2&lt;&gt;"",NOT(ISNUMBER($E2)))</formula>
    </cfRule>
  </conditionalFormatting>
  <dataValidations count="1">
    <dataValidation sqref="F2:F151" showDropDown="0" showInputMessage="0" showErrorMessage="0" allowBlank="1" errorTitle="Statut" error="Choisissez Envoyé, Accepté ou Refusé." type="list">
      <formula1>"Envoyé,Accepté,Refusé"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3" customWidth="1" min="4" max="4"/>
    <col width="13" customWidth="1" min="5" max="5"/>
    <col width="13" customWidth="1" min="6" max="6"/>
    <col width="12" customWidth="1" min="7" max="7"/>
    <col width="11" customWidth="1" min="8" max="8"/>
    <col width="10" customWidth="1" min="9" max="9"/>
    <col width="13" customWidth="1" min="10" max="10"/>
  </cols>
  <sheetData>
    <row r="1" ht="46" customHeight="1">
      <c r="A1" s="1" t="inlineStr">
        <is>
          <t>Date</t>
        </is>
      </c>
      <c r="B1" s="1" t="inlineStr">
        <is>
          <t>Code</t>
        </is>
      </c>
      <c r="C1" s="1" t="inlineStr">
        <is>
          <t>Client</t>
        </is>
      </c>
      <c r="D1" s="1" t="inlineStr">
        <is>
          <t>Montant</t>
        </is>
      </c>
      <c r="E1" s="1" t="inlineStr">
        <is>
          <t>Déjà payé</t>
        </is>
      </c>
      <c r="F1" s="1" t="inlineStr">
        <is>
          <t>Reste à payer</t>
        </is>
      </c>
      <c r="G1" s="1" t="inlineStr">
        <is>
          <t>Échéance</t>
        </is>
      </c>
      <c r="H1" s="1" t="inlineStr">
        <is>
          <t>Jours de retard</t>
        </is>
      </c>
      <c r="I1" s="1" t="inlineStr">
        <is>
          <t>Relances</t>
        </is>
      </c>
      <c r="J1" s="1" t="inlineStr">
        <is>
          <t>Date promise</t>
        </is>
      </c>
    </row>
    <row r="2">
      <c r="A2" s="2" t="n"/>
      <c r="B2" s="3" t="n"/>
      <c r="C2" s="3" t="n"/>
      <c r="D2" s="4" t="n"/>
      <c r="E2" s="4" t="n"/>
      <c r="F2" s="7">
        <f>IF($D2="","",$D2-$E2)</f>
        <v/>
      </c>
      <c r="G2" s="2" t="n"/>
      <c r="H2" s="6">
        <f>IF(AND(ISNUMBER($F2),$G2&lt;&gt;""),IF(AND($F2&gt;0,$G2&lt;TODAY()),TODAY()-$G2,""),"")</f>
        <v/>
      </c>
      <c r="I2" s="5" t="n"/>
      <c r="J2" s="2" t="n"/>
    </row>
    <row r="3">
      <c r="A3" s="2" t="n"/>
      <c r="B3" s="3" t="n"/>
      <c r="C3" s="3" t="n"/>
      <c r="D3" s="4" t="n"/>
      <c r="E3" s="4" t="n"/>
      <c r="F3" s="7">
        <f>IF($D3="","",$D3-$E3)</f>
        <v/>
      </c>
      <c r="G3" s="2" t="n"/>
      <c r="H3" s="6">
        <f>IF(AND(ISNUMBER($F3),$G3&lt;&gt;""),IF(AND($F3&gt;0,$G3&lt;TODAY()),TODAY()-$G3,""),"")</f>
        <v/>
      </c>
      <c r="I3" s="5" t="n"/>
      <c r="J3" s="2" t="n"/>
    </row>
    <row r="4">
      <c r="A4" s="2" t="n"/>
      <c r="B4" s="3" t="n"/>
      <c r="C4" s="3" t="n"/>
      <c r="D4" s="4" t="n"/>
      <c r="E4" s="4" t="n"/>
      <c r="F4" s="7">
        <f>IF($D4="","",$D4-$E4)</f>
        <v/>
      </c>
      <c r="G4" s="2" t="n"/>
      <c r="H4" s="6">
        <f>IF(AND(ISNUMBER($F4),$G4&lt;&gt;""),IF(AND($F4&gt;0,$G4&lt;TODAY()),TODAY()-$G4,""),"")</f>
        <v/>
      </c>
      <c r="I4" s="5" t="n"/>
      <c r="J4" s="2" t="n"/>
    </row>
    <row r="5">
      <c r="A5" s="2" t="n"/>
      <c r="B5" s="3" t="n"/>
      <c r="C5" s="3" t="n"/>
      <c r="D5" s="4" t="n"/>
      <c r="E5" s="4" t="n"/>
      <c r="F5" s="7">
        <f>IF($D5="","",$D5-$E5)</f>
        <v/>
      </c>
      <c r="G5" s="2" t="n"/>
      <c r="H5" s="6">
        <f>IF(AND(ISNUMBER($F5),$G5&lt;&gt;""),IF(AND($F5&gt;0,$G5&lt;TODAY()),TODAY()-$G5,""),"")</f>
        <v/>
      </c>
      <c r="I5" s="5" t="n"/>
      <c r="J5" s="2" t="n"/>
    </row>
    <row r="6">
      <c r="A6" s="2" t="n"/>
      <c r="B6" s="3" t="n"/>
      <c r="C6" s="3" t="n"/>
      <c r="D6" s="4" t="n"/>
      <c r="E6" s="4" t="n"/>
      <c r="F6" s="7">
        <f>IF($D6="","",$D6-$E6)</f>
        <v/>
      </c>
      <c r="G6" s="2" t="n"/>
      <c r="H6" s="6">
        <f>IF(AND(ISNUMBER($F6),$G6&lt;&gt;""),IF(AND($F6&gt;0,$G6&lt;TODAY()),TODAY()-$G6,""),"")</f>
        <v/>
      </c>
      <c r="I6" s="5" t="n"/>
      <c r="J6" s="2" t="n"/>
    </row>
    <row r="7">
      <c r="A7" s="2" t="n"/>
      <c r="B7" s="3" t="n"/>
      <c r="C7" s="3" t="n"/>
      <c r="D7" s="4" t="n"/>
      <c r="E7" s="4" t="n"/>
      <c r="F7" s="7">
        <f>IF($D7="","",$D7-$E7)</f>
        <v/>
      </c>
      <c r="G7" s="2" t="n"/>
      <c r="H7" s="6">
        <f>IF(AND(ISNUMBER($F7),$G7&lt;&gt;""),IF(AND($F7&gt;0,$G7&lt;TODAY()),TODAY()-$G7,""),"")</f>
        <v/>
      </c>
      <c r="I7" s="5" t="n"/>
      <c r="J7" s="2" t="n"/>
    </row>
    <row r="8">
      <c r="A8" s="2" t="n"/>
      <c r="B8" s="3" t="n"/>
      <c r="C8" s="3" t="n"/>
      <c r="D8" s="4" t="n"/>
      <c r="E8" s="4" t="n"/>
      <c r="F8" s="7">
        <f>IF($D8="","",$D8-$E8)</f>
        <v/>
      </c>
      <c r="G8" s="2" t="n"/>
      <c r="H8" s="6">
        <f>IF(AND(ISNUMBER($F8),$G8&lt;&gt;""),IF(AND($F8&gt;0,$G8&lt;TODAY()),TODAY()-$G8,""),"")</f>
        <v/>
      </c>
      <c r="I8" s="5" t="n"/>
      <c r="J8" s="2" t="n"/>
    </row>
    <row r="9">
      <c r="A9" s="2" t="n"/>
      <c r="B9" s="3" t="n"/>
      <c r="C9" s="3" t="n"/>
      <c r="D9" s="4" t="n"/>
      <c r="E9" s="4" t="n"/>
      <c r="F9" s="7">
        <f>IF($D9="","",$D9-$E9)</f>
        <v/>
      </c>
      <c r="G9" s="2" t="n"/>
      <c r="H9" s="6">
        <f>IF(AND(ISNUMBER($F9),$G9&lt;&gt;""),IF(AND($F9&gt;0,$G9&lt;TODAY()),TODAY()-$G9,""),"")</f>
        <v/>
      </c>
      <c r="I9" s="5" t="n"/>
      <c r="J9" s="2" t="n"/>
    </row>
    <row r="10">
      <c r="A10" s="2" t="n"/>
      <c r="B10" s="3" t="n"/>
      <c r="C10" s="3" t="n"/>
      <c r="D10" s="4" t="n"/>
      <c r="E10" s="4" t="n"/>
      <c r="F10" s="7">
        <f>IF($D10="","",$D10-$E10)</f>
        <v/>
      </c>
      <c r="G10" s="2" t="n"/>
      <c r="H10" s="6">
        <f>IF(AND(ISNUMBER($F10),$G10&lt;&gt;""),IF(AND($F10&gt;0,$G10&lt;TODAY()),TODAY()-$G10,""),"")</f>
        <v/>
      </c>
      <c r="I10" s="5" t="n"/>
      <c r="J10" s="2" t="n"/>
    </row>
    <row r="11">
      <c r="A11" s="2" t="n"/>
      <c r="B11" s="3" t="n"/>
      <c r="C11" s="3" t="n"/>
      <c r="D11" s="4" t="n"/>
      <c r="E11" s="4" t="n"/>
      <c r="F11" s="7">
        <f>IF($D11="","",$D11-$E11)</f>
        <v/>
      </c>
      <c r="G11" s="2" t="n"/>
      <c r="H11" s="6">
        <f>IF(AND(ISNUMBER($F11),$G11&lt;&gt;""),IF(AND($F11&gt;0,$G11&lt;TODAY()),TODAY()-$G11,""),"")</f>
        <v/>
      </c>
      <c r="I11" s="5" t="n"/>
      <c r="J11" s="2" t="n"/>
    </row>
    <row r="12">
      <c r="A12" s="2" t="n"/>
      <c r="B12" s="3" t="n"/>
      <c r="C12" s="3" t="n"/>
      <c r="D12" s="4" t="n"/>
      <c r="E12" s="4" t="n"/>
      <c r="F12" s="7">
        <f>IF($D12="","",$D12-$E12)</f>
        <v/>
      </c>
      <c r="G12" s="2" t="n"/>
      <c r="H12" s="6">
        <f>IF(AND(ISNUMBER($F12),$G12&lt;&gt;""),IF(AND($F12&gt;0,$G12&lt;TODAY()),TODAY()-$G12,""),"")</f>
        <v/>
      </c>
      <c r="I12" s="5" t="n"/>
      <c r="J12" s="2" t="n"/>
    </row>
    <row r="13">
      <c r="A13" s="2" t="n"/>
      <c r="B13" s="3" t="n"/>
      <c r="C13" s="3" t="n"/>
      <c r="D13" s="4" t="n"/>
      <c r="E13" s="4" t="n"/>
      <c r="F13" s="7">
        <f>IF($D13="","",$D13-$E13)</f>
        <v/>
      </c>
      <c r="G13" s="2" t="n"/>
      <c r="H13" s="6">
        <f>IF(AND(ISNUMBER($F13),$G13&lt;&gt;""),IF(AND($F13&gt;0,$G13&lt;TODAY()),TODAY()-$G13,""),"")</f>
        <v/>
      </c>
      <c r="I13" s="5" t="n"/>
      <c r="J13" s="2" t="n"/>
    </row>
    <row r="14">
      <c r="A14" s="2" t="n"/>
      <c r="B14" s="3" t="n"/>
      <c r="C14" s="3" t="n"/>
      <c r="D14" s="4" t="n"/>
      <c r="E14" s="4" t="n"/>
      <c r="F14" s="7">
        <f>IF($D14="","",$D14-$E14)</f>
        <v/>
      </c>
      <c r="G14" s="2" t="n"/>
      <c r="H14" s="6">
        <f>IF(AND(ISNUMBER($F14),$G14&lt;&gt;""),IF(AND($F14&gt;0,$G14&lt;TODAY()),TODAY()-$G14,""),"")</f>
        <v/>
      </c>
      <c r="I14" s="5" t="n"/>
      <c r="J14" s="2" t="n"/>
    </row>
    <row r="15">
      <c r="A15" s="2" t="n"/>
      <c r="B15" s="3" t="n"/>
      <c r="C15" s="3" t="n"/>
      <c r="D15" s="4" t="n"/>
      <c r="E15" s="4" t="n"/>
      <c r="F15" s="7">
        <f>IF($D15="","",$D15-$E15)</f>
        <v/>
      </c>
      <c r="G15" s="2" t="n"/>
      <c r="H15" s="6">
        <f>IF(AND(ISNUMBER($F15),$G15&lt;&gt;""),IF(AND($F15&gt;0,$G15&lt;TODAY()),TODAY()-$G15,""),"")</f>
        <v/>
      </c>
      <c r="I15" s="5" t="n"/>
      <c r="J15" s="2" t="n"/>
    </row>
    <row r="16">
      <c r="A16" s="2" t="n"/>
      <c r="B16" s="3" t="n"/>
      <c r="C16" s="3" t="n"/>
      <c r="D16" s="4" t="n"/>
      <c r="E16" s="4" t="n"/>
      <c r="F16" s="7">
        <f>IF($D16="","",$D16-$E16)</f>
        <v/>
      </c>
      <c r="G16" s="2" t="n"/>
      <c r="H16" s="6">
        <f>IF(AND(ISNUMBER($F16),$G16&lt;&gt;""),IF(AND($F16&gt;0,$G16&lt;TODAY()),TODAY()-$G16,""),"")</f>
        <v/>
      </c>
      <c r="I16" s="5" t="n"/>
      <c r="J16" s="2" t="n"/>
    </row>
    <row r="17">
      <c r="A17" s="2" t="n"/>
      <c r="B17" s="3" t="n"/>
      <c r="C17" s="3" t="n"/>
      <c r="D17" s="4" t="n"/>
      <c r="E17" s="4" t="n"/>
      <c r="F17" s="7">
        <f>IF($D17="","",$D17-$E17)</f>
        <v/>
      </c>
      <c r="G17" s="2" t="n"/>
      <c r="H17" s="6">
        <f>IF(AND(ISNUMBER($F17),$G17&lt;&gt;""),IF(AND($F17&gt;0,$G17&lt;TODAY()),TODAY()-$G17,""),"")</f>
        <v/>
      </c>
      <c r="I17" s="5" t="n"/>
      <c r="J17" s="2" t="n"/>
    </row>
    <row r="18">
      <c r="A18" s="2" t="n"/>
      <c r="B18" s="3" t="n"/>
      <c r="C18" s="3" t="n"/>
      <c r="D18" s="4" t="n"/>
      <c r="E18" s="4" t="n"/>
      <c r="F18" s="7">
        <f>IF($D18="","",$D18-$E18)</f>
        <v/>
      </c>
      <c r="G18" s="2" t="n"/>
      <c r="H18" s="6">
        <f>IF(AND(ISNUMBER($F18),$G18&lt;&gt;""),IF(AND($F18&gt;0,$G18&lt;TODAY()),TODAY()-$G18,""),"")</f>
        <v/>
      </c>
      <c r="I18" s="5" t="n"/>
      <c r="J18" s="2" t="n"/>
    </row>
    <row r="19">
      <c r="A19" s="2" t="n"/>
      <c r="B19" s="3" t="n"/>
      <c r="C19" s="3" t="n"/>
      <c r="D19" s="4" t="n"/>
      <c r="E19" s="4" t="n"/>
      <c r="F19" s="7">
        <f>IF($D19="","",$D19-$E19)</f>
        <v/>
      </c>
      <c r="G19" s="2" t="n"/>
      <c r="H19" s="6">
        <f>IF(AND(ISNUMBER($F19),$G19&lt;&gt;""),IF(AND($F19&gt;0,$G19&lt;TODAY()),TODAY()-$G19,""),"")</f>
        <v/>
      </c>
      <c r="I19" s="5" t="n"/>
      <c r="J19" s="2" t="n"/>
    </row>
    <row r="20">
      <c r="A20" s="2" t="n"/>
      <c r="B20" s="3" t="n"/>
      <c r="C20" s="3" t="n"/>
      <c r="D20" s="4" t="n"/>
      <c r="E20" s="4" t="n"/>
      <c r="F20" s="7">
        <f>IF($D20="","",$D20-$E20)</f>
        <v/>
      </c>
      <c r="G20" s="2" t="n"/>
      <c r="H20" s="6">
        <f>IF(AND(ISNUMBER($F20),$G20&lt;&gt;""),IF(AND($F20&gt;0,$G20&lt;TODAY()),TODAY()-$G20,""),"")</f>
        <v/>
      </c>
      <c r="I20" s="5" t="n"/>
      <c r="J20" s="2" t="n"/>
    </row>
    <row r="21">
      <c r="A21" s="2" t="n"/>
      <c r="B21" s="3" t="n"/>
      <c r="C21" s="3" t="n"/>
      <c r="D21" s="4" t="n"/>
      <c r="E21" s="4" t="n"/>
      <c r="F21" s="7">
        <f>IF($D21="","",$D21-$E21)</f>
        <v/>
      </c>
      <c r="G21" s="2" t="n"/>
      <c r="H21" s="6">
        <f>IF(AND(ISNUMBER($F21),$G21&lt;&gt;""),IF(AND($F21&gt;0,$G21&lt;TODAY()),TODAY()-$G21,""),"")</f>
        <v/>
      </c>
      <c r="I21" s="5" t="n"/>
      <c r="J21" s="2" t="n"/>
    </row>
    <row r="22">
      <c r="A22" s="2" t="n"/>
      <c r="B22" s="3" t="n"/>
      <c r="C22" s="3" t="n"/>
      <c r="D22" s="4" t="n"/>
      <c r="E22" s="4" t="n"/>
      <c r="F22" s="7">
        <f>IF($D22="","",$D22-$E22)</f>
        <v/>
      </c>
      <c r="G22" s="2" t="n"/>
      <c r="H22" s="6">
        <f>IF(AND(ISNUMBER($F22),$G22&lt;&gt;""),IF(AND($F22&gt;0,$G22&lt;TODAY()),TODAY()-$G22,""),"")</f>
        <v/>
      </c>
      <c r="I22" s="5" t="n"/>
      <c r="J22" s="2" t="n"/>
    </row>
    <row r="23">
      <c r="A23" s="2" t="n"/>
      <c r="B23" s="3" t="n"/>
      <c r="C23" s="3" t="n"/>
      <c r="D23" s="4" t="n"/>
      <c r="E23" s="4" t="n"/>
      <c r="F23" s="7">
        <f>IF($D23="","",$D23-$E23)</f>
        <v/>
      </c>
      <c r="G23" s="2" t="n"/>
      <c r="H23" s="6">
        <f>IF(AND(ISNUMBER($F23),$G23&lt;&gt;""),IF(AND($F23&gt;0,$G23&lt;TODAY()),TODAY()-$G23,""),"")</f>
        <v/>
      </c>
      <c r="I23" s="5" t="n"/>
      <c r="J23" s="2" t="n"/>
    </row>
    <row r="24">
      <c r="A24" s="2" t="n"/>
      <c r="B24" s="3" t="n"/>
      <c r="C24" s="3" t="n"/>
      <c r="D24" s="4" t="n"/>
      <c r="E24" s="4" t="n"/>
      <c r="F24" s="7">
        <f>IF($D24="","",$D24-$E24)</f>
        <v/>
      </c>
      <c r="G24" s="2" t="n"/>
      <c r="H24" s="6">
        <f>IF(AND(ISNUMBER($F24),$G24&lt;&gt;""),IF(AND($F24&gt;0,$G24&lt;TODAY()),TODAY()-$G24,""),"")</f>
        <v/>
      </c>
      <c r="I24" s="5" t="n"/>
      <c r="J24" s="2" t="n"/>
    </row>
    <row r="25">
      <c r="A25" s="2" t="n"/>
      <c r="B25" s="3" t="n"/>
      <c r="C25" s="3" t="n"/>
      <c r="D25" s="4" t="n"/>
      <c r="E25" s="4" t="n"/>
      <c r="F25" s="7">
        <f>IF($D25="","",$D25-$E25)</f>
        <v/>
      </c>
      <c r="G25" s="2" t="n"/>
      <c r="H25" s="6">
        <f>IF(AND(ISNUMBER($F25),$G25&lt;&gt;""),IF(AND($F25&gt;0,$G25&lt;TODAY()),TODAY()-$G25,""),"")</f>
        <v/>
      </c>
      <c r="I25" s="5" t="n"/>
      <c r="J25" s="2" t="n"/>
    </row>
    <row r="26">
      <c r="A26" s="2" t="n"/>
      <c r="B26" s="3" t="n"/>
      <c r="C26" s="3" t="n"/>
      <c r="D26" s="4" t="n"/>
      <c r="E26" s="4" t="n"/>
      <c r="F26" s="7">
        <f>IF($D26="","",$D26-$E26)</f>
        <v/>
      </c>
      <c r="G26" s="2" t="n"/>
      <c r="H26" s="6">
        <f>IF(AND(ISNUMBER($F26),$G26&lt;&gt;""),IF(AND($F26&gt;0,$G26&lt;TODAY()),TODAY()-$G26,""),"")</f>
        <v/>
      </c>
      <c r="I26" s="5" t="n"/>
      <c r="J26" s="2" t="n"/>
    </row>
    <row r="27">
      <c r="A27" s="2" t="n"/>
      <c r="B27" s="3" t="n"/>
      <c r="C27" s="3" t="n"/>
      <c r="D27" s="4" t="n"/>
      <c r="E27" s="4" t="n"/>
      <c r="F27" s="7">
        <f>IF($D27="","",$D27-$E27)</f>
        <v/>
      </c>
      <c r="G27" s="2" t="n"/>
      <c r="H27" s="6">
        <f>IF(AND(ISNUMBER($F27),$G27&lt;&gt;""),IF(AND($F27&gt;0,$G27&lt;TODAY()),TODAY()-$G27,""),"")</f>
        <v/>
      </c>
      <c r="I27" s="5" t="n"/>
      <c r="J27" s="2" t="n"/>
    </row>
    <row r="28">
      <c r="A28" s="2" t="n"/>
      <c r="B28" s="3" t="n"/>
      <c r="C28" s="3" t="n"/>
      <c r="D28" s="4" t="n"/>
      <c r="E28" s="4" t="n"/>
      <c r="F28" s="7">
        <f>IF($D28="","",$D28-$E28)</f>
        <v/>
      </c>
      <c r="G28" s="2" t="n"/>
      <c r="H28" s="6">
        <f>IF(AND(ISNUMBER($F28),$G28&lt;&gt;""),IF(AND($F28&gt;0,$G28&lt;TODAY()),TODAY()-$G28,""),"")</f>
        <v/>
      </c>
      <c r="I28" s="5" t="n"/>
      <c r="J28" s="2" t="n"/>
    </row>
    <row r="29">
      <c r="A29" s="2" t="n"/>
      <c r="B29" s="3" t="n"/>
      <c r="C29" s="3" t="n"/>
      <c r="D29" s="4" t="n"/>
      <c r="E29" s="4" t="n"/>
      <c r="F29" s="7">
        <f>IF($D29="","",$D29-$E29)</f>
        <v/>
      </c>
      <c r="G29" s="2" t="n"/>
      <c r="H29" s="6">
        <f>IF(AND(ISNUMBER($F29),$G29&lt;&gt;""),IF(AND($F29&gt;0,$G29&lt;TODAY()),TODAY()-$G29,""),"")</f>
        <v/>
      </c>
      <c r="I29" s="5" t="n"/>
      <c r="J29" s="2" t="n"/>
    </row>
    <row r="30">
      <c r="A30" s="2" t="n"/>
      <c r="B30" s="3" t="n"/>
      <c r="C30" s="3" t="n"/>
      <c r="D30" s="4" t="n"/>
      <c r="E30" s="4" t="n"/>
      <c r="F30" s="7">
        <f>IF($D30="","",$D30-$E30)</f>
        <v/>
      </c>
      <c r="G30" s="2" t="n"/>
      <c r="H30" s="6">
        <f>IF(AND(ISNUMBER($F30),$G30&lt;&gt;""),IF(AND($F30&gt;0,$G30&lt;TODAY()),TODAY()-$G30,""),"")</f>
        <v/>
      </c>
      <c r="I30" s="5" t="n"/>
      <c r="J30" s="2" t="n"/>
    </row>
    <row r="31">
      <c r="A31" s="2" t="n"/>
      <c r="B31" s="3" t="n"/>
      <c r="C31" s="3" t="n"/>
      <c r="D31" s="4" t="n"/>
      <c r="E31" s="4" t="n"/>
      <c r="F31" s="7">
        <f>IF($D31="","",$D31-$E31)</f>
        <v/>
      </c>
      <c r="G31" s="2" t="n"/>
      <c r="H31" s="6">
        <f>IF(AND(ISNUMBER($F31),$G31&lt;&gt;""),IF(AND($F31&gt;0,$G31&lt;TODAY()),TODAY()-$G31,""),"")</f>
        <v/>
      </c>
      <c r="I31" s="5" t="n"/>
      <c r="J31" s="2" t="n"/>
    </row>
    <row r="32">
      <c r="A32" s="2" t="n"/>
      <c r="B32" s="3" t="n"/>
      <c r="C32" s="3" t="n"/>
      <c r="D32" s="4" t="n"/>
      <c r="E32" s="4" t="n"/>
      <c r="F32" s="7">
        <f>IF($D32="","",$D32-$E32)</f>
        <v/>
      </c>
      <c r="G32" s="2" t="n"/>
      <c r="H32" s="6">
        <f>IF(AND(ISNUMBER($F32),$G32&lt;&gt;""),IF(AND($F32&gt;0,$G32&lt;TODAY()),TODAY()-$G32,""),"")</f>
        <v/>
      </c>
      <c r="I32" s="5" t="n"/>
      <c r="J32" s="2" t="n"/>
    </row>
    <row r="33">
      <c r="A33" s="2" t="n"/>
      <c r="B33" s="3" t="n"/>
      <c r="C33" s="3" t="n"/>
      <c r="D33" s="4" t="n"/>
      <c r="E33" s="4" t="n"/>
      <c r="F33" s="7">
        <f>IF($D33="","",$D33-$E33)</f>
        <v/>
      </c>
      <c r="G33" s="2" t="n"/>
      <c r="H33" s="6">
        <f>IF(AND(ISNUMBER($F33),$G33&lt;&gt;""),IF(AND($F33&gt;0,$G33&lt;TODAY()),TODAY()-$G33,""),"")</f>
        <v/>
      </c>
      <c r="I33" s="5" t="n"/>
      <c r="J33" s="2" t="n"/>
    </row>
    <row r="34">
      <c r="A34" s="2" t="n"/>
      <c r="B34" s="3" t="n"/>
      <c r="C34" s="3" t="n"/>
      <c r="D34" s="4" t="n"/>
      <c r="E34" s="4" t="n"/>
      <c r="F34" s="7">
        <f>IF($D34="","",$D34-$E34)</f>
        <v/>
      </c>
      <c r="G34" s="2" t="n"/>
      <c r="H34" s="6">
        <f>IF(AND(ISNUMBER($F34),$G34&lt;&gt;""),IF(AND($F34&gt;0,$G34&lt;TODAY()),TODAY()-$G34,""),"")</f>
        <v/>
      </c>
      <c r="I34" s="5" t="n"/>
      <c r="J34" s="2" t="n"/>
    </row>
    <row r="35">
      <c r="A35" s="2" t="n"/>
      <c r="B35" s="3" t="n"/>
      <c r="C35" s="3" t="n"/>
      <c r="D35" s="4" t="n"/>
      <c r="E35" s="4" t="n"/>
      <c r="F35" s="7">
        <f>IF($D35="","",$D35-$E35)</f>
        <v/>
      </c>
      <c r="G35" s="2" t="n"/>
      <c r="H35" s="6">
        <f>IF(AND(ISNUMBER($F35),$G35&lt;&gt;""),IF(AND($F35&gt;0,$G35&lt;TODAY()),TODAY()-$G35,""),"")</f>
        <v/>
      </c>
      <c r="I35" s="5" t="n"/>
      <c r="J35" s="2" t="n"/>
    </row>
    <row r="36">
      <c r="A36" s="2" t="n"/>
      <c r="B36" s="3" t="n"/>
      <c r="C36" s="3" t="n"/>
      <c r="D36" s="4" t="n"/>
      <c r="E36" s="4" t="n"/>
      <c r="F36" s="7">
        <f>IF($D36="","",$D36-$E36)</f>
        <v/>
      </c>
      <c r="G36" s="2" t="n"/>
      <c r="H36" s="6">
        <f>IF(AND(ISNUMBER($F36),$G36&lt;&gt;""),IF(AND($F36&gt;0,$G36&lt;TODAY()),TODAY()-$G36,""),"")</f>
        <v/>
      </c>
      <c r="I36" s="5" t="n"/>
      <c r="J36" s="2" t="n"/>
    </row>
    <row r="37">
      <c r="A37" s="2" t="n"/>
      <c r="B37" s="3" t="n"/>
      <c r="C37" s="3" t="n"/>
      <c r="D37" s="4" t="n"/>
      <c r="E37" s="4" t="n"/>
      <c r="F37" s="7">
        <f>IF($D37="","",$D37-$E37)</f>
        <v/>
      </c>
      <c r="G37" s="2" t="n"/>
      <c r="H37" s="6">
        <f>IF(AND(ISNUMBER($F37),$G37&lt;&gt;""),IF(AND($F37&gt;0,$G37&lt;TODAY()),TODAY()-$G37,""),"")</f>
        <v/>
      </c>
      <c r="I37" s="5" t="n"/>
      <c r="J37" s="2" t="n"/>
    </row>
    <row r="38">
      <c r="A38" s="2" t="n"/>
      <c r="B38" s="3" t="n"/>
      <c r="C38" s="3" t="n"/>
      <c r="D38" s="4" t="n"/>
      <c r="E38" s="4" t="n"/>
      <c r="F38" s="7">
        <f>IF($D38="","",$D38-$E38)</f>
        <v/>
      </c>
      <c r="G38" s="2" t="n"/>
      <c r="H38" s="6">
        <f>IF(AND(ISNUMBER($F38),$G38&lt;&gt;""),IF(AND($F38&gt;0,$G38&lt;TODAY()),TODAY()-$G38,""),"")</f>
        <v/>
      </c>
      <c r="I38" s="5" t="n"/>
      <c r="J38" s="2" t="n"/>
    </row>
    <row r="39">
      <c r="A39" s="2" t="n"/>
      <c r="B39" s="3" t="n"/>
      <c r="C39" s="3" t="n"/>
      <c r="D39" s="4" t="n"/>
      <c r="E39" s="4" t="n"/>
      <c r="F39" s="7">
        <f>IF($D39="","",$D39-$E39)</f>
        <v/>
      </c>
      <c r="G39" s="2" t="n"/>
      <c r="H39" s="6">
        <f>IF(AND(ISNUMBER($F39),$G39&lt;&gt;""),IF(AND($F39&gt;0,$G39&lt;TODAY()),TODAY()-$G39,""),"")</f>
        <v/>
      </c>
      <c r="I39" s="5" t="n"/>
      <c r="J39" s="2" t="n"/>
    </row>
    <row r="40">
      <c r="A40" s="2" t="n"/>
      <c r="B40" s="3" t="n"/>
      <c r="C40" s="3" t="n"/>
      <c r="D40" s="4" t="n"/>
      <c r="E40" s="4" t="n"/>
      <c r="F40" s="7">
        <f>IF($D40="","",$D40-$E40)</f>
        <v/>
      </c>
      <c r="G40" s="2" t="n"/>
      <c r="H40" s="6">
        <f>IF(AND(ISNUMBER($F40),$G40&lt;&gt;""),IF(AND($F40&gt;0,$G40&lt;TODAY()),TODAY()-$G40,""),"")</f>
        <v/>
      </c>
      <c r="I40" s="5" t="n"/>
      <c r="J40" s="2" t="n"/>
    </row>
    <row r="41">
      <c r="A41" s="2" t="n"/>
      <c r="B41" s="3" t="n"/>
      <c r="C41" s="3" t="n"/>
      <c r="D41" s="4" t="n"/>
      <c r="E41" s="4" t="n"/>
      <c r="F41" s="7">
        <f>IF($D41="","",$D41-$E41)</f>
        <v/>
      </c>
      <c r="G41" s="2" t="n"/>
      <c r="H41" s="6">
        <f>IF(AND(ISNUMBER($F41),$G41&lt;&gt;""),IF(AND($F41&gt;0,$G41&lt;TODAY()),TODAY()-$G41,""),"")</f>
        <v/>
      </c>
      <c r="I41" s="5" t="n"/>
      <c r="J41" s="2" t="n"/>
    </row>
    <row r="42">
      <c r="A42" s="2" t="n"/>
      <c r="B42" s="3" t="n"/>
      <c r="C42" s="3" t="n"/>
      <c r="D42" s="4" t="n"/>
      <c r="E42" s="4" t="n"/>
      <c r="F42" s="7">
        <f>IF($D42="","",$D42-$E42)</f>
        <v/>
      </c>
      <c r="G42" s="2" t="n"/>
      <c r="H42" s="6">
        <f>IF(AND(ISNUMBER($F42),$G42&lt;&gt;""),IF(AND($F42&gt;0,$G42&lt;TODAY()),TODAY()-$G42,""),"")</f>
        <v/>
      </c>
      <c r="I42" s="5" t="n"/>
      <c r="J42" s="2" t="n"/>
    </row>
    <row r="43">
      <c r="A43" s="2" t="n"/>
      <c r="B43" s="3" t="n"/>
      <c r="C43" s="3" t="n"/>
      <c r="D43" s="4" t="n"/>
      <c r="E43" s="4" t="n"/>
      <c r="F43" s="7">
        <f>IF($D43="","",$D43-$E43)</f>
        <v/>
      </c>
      <c r="G43" s="2" t="n"/>
      <c r="H43" s="6">
        <f>IF(AND(ISNUMBER($F43),$G43&lt;&gt;""),IF(AND($F43&gt;0,$G43&lt;TODAY()),TODAY()-$G43,""),"")</f>
        <v/>
      </c>
      <c r="I43" s="5" t="n"/>
      <c r="J43" s="2" t="n"/>
    </row>
    <row r="44">
      <c r="A44" s="2" t="n"/>
      <c r="B44" s="3" t="n"/>
      <c r="C44" s="3" t="n"/>
      <c r="D44" s="4" t="n"/>
      <c r="E44" s="4" t="n"/>
      <c r="F44" s="7">
        <f>IF($D44="","",$D44-$E44)</f>
        <v/>
      </c>
      <c r="G44" s="2" t="n"/>
      <c r="H44" s="6">
        <f>IF(AND(ISNUMBER($F44),$G44&lt;&gt;""),IF(AND($F44&gt;0,$G44&lt;TODAY()),TODAY()-$G44,""),"")</f>
        <v/>
      </c>
      <c r="I44" s="5" t="n"/>
      <c r="J44" s="2" t="n"/>
    </row>
    <row r="45">
      <c r="A45" s="2" t="n"/>
      <c r="B45" s="3" t="n"/>
      <c r="C45" s="3" t="n"/>
      <c r="D45" s="4" t="n"/>
      <c r="E45" s="4" t="n"/>
      <c r="F45" s="7">
        <f>IF($D45="","",$D45-$E45)</f>
        <v/>
      </c>
      <c r="G45" s="2" t="n"/>
      <c r="H45" s="6">
        <f>IF(AND(ISNUMBER($F45),$G45&lt;&gt;""),IF(AND($F45&gt;0,$G45&lt;TODAY()),TODAY()-$G45,""),"")</f>
        <v/>
      </c>
      <c r="I45" s="5" t="n"/>
      <c r="J45" s="2" t="n"/>
    </row>
    <row r="46">
      <c r="A46" s="2" t="n"/>
      <c r="B46" s="3" t="n"/>
      <c r="C46" s="3" t="n"/>
      <c r="D46" s="4" t="n"/>
      <c r="E46" s="4" t="n"/>
      <c r="F46" s="7">
        <f>IF($D46="","",$D46-$E46)</f>
        <v/>
      </c>
      <c r="G46" s="2" t="n"/>
      <c r="H46" s="6">
        <f>IF(AND(ISNUMBER($F46),$G46&lt;&gt;""),IF(AND($F46&gt;0,$G46&lt;TODAY()),TODAY()-$G46,""),"")</f>
        <v/>
      </c>
      <c r="I46" s="5" t="n"/>
      <c r="J46" s="2" t="n"/>
    </row>
    <row r="47">
      <c r="A47" s="2" t="n"/>
      <c r="B47" s="3" t="n"/>
      <c r="C47" s="3" t="n"/>
      <c r="D47" s="4" t="n"/>
      <c r="E47" s="4" t="n"/>
      <c r="F47" s="7">
        <f>IF($D47="","",$D47-$E47)</f>
        <v/>
      </c>
      <c r="G47" s="2" t="n"/>
      <c r="H47" s="6">
        <f>IF(AND(ISNUMBER($F47),$G47&lt;&gt;""),IF(AND($F47&gt;0,$G47&lt;TODAY()),TODAY()-$G47,""),"")</f>
        <v/>
      </c>
      <c r="I47" s="5" t="n"/>
      <c r="J47" s="2" t="n"/>
    </row>
    <row r="48">
      <c r="A48" s="2" t="n"/>
      <c r="B48" s="3" t="n"/>
      <c r="C48" s="3" t="n"/>
      <c r="D48" s="4" t="n"/>
      <c r="E48" s="4" t="n"/>
      <c r="F48" s="7">
        <f>IF($D48="","",$D48-$E48)</f>
        <v/>
      </c>
      <c r="G48" s="2" t="n"/>
      <c r="H48" s="6">
        <f>IF(AND(ISNUMBER($F48),$G48&lt;&gt;""),IF(AND($F48&gt;0,$G48&lt;TODAY()),TODAY()-$G48,""),"")</f>
        <v/>
      </c>
      <c r="I48" s="5" t="n"/>
      <c r="J48" s="2" t="n"/>
    </row>
    <row r="49">
      <c r="A49" s="2" t="n"/>
      <c r="B49" s="3" t="n"/>
      <c r="C49" s="3" t="n"/>
      <c r="D49" s="4" t="n"/>
      <c r="E49" s="4" t="n"/>
      <c r="F49" s="7">
        <f>IF($D49="","",$D49-$E49)</f>
        <v/>
      </c>
      <c r="G49" s="2" t="n"/>
      <c r="H49" s="6">
        <f>IF(AND(ISNUMBER($F49),$G49&lt;&gt;""),IF(AND($F49&gt;0,$G49&lt;TODAY()),TODAY()-$G49,""),"")</f>
        <v/>
      </c>
      <c r="I49" s="5" t="n"/>
      <c r="J49" s="2" t="n"/>
    </row>
    <row r="50">
      <c r="A50" s="2" t="n"/>
      <c r="B50" s="3" t="n"/>
      <c r="C50" s="3" t="n"/>
      <c r="D50" s="4" t="n"/>
      <c r="E50" s="4" t="n"/>
      <c r="F50" s="7">
        <f>IF($D50="","",$D50-$E50)</f>
        <v/>
      </c>
      <c r="G50" s="2" t="n"/>
      <c r="H50" s="6">
        <f>IF(AND(ISNUMBER($F50),$G50&lt;&gt;""),IF(AND($F50&gt;0,$G50&lt;TODAY()),TODAY()-$G50,""),"")</f>
        <v/>
      </c>
      <c r="I50" s="5" t="n"/>
      <c r="J50" s="2" t="n"/>
    </row>
    <row r="51">
      <c r="A51" s="2" t="n"/>
      <c r="B51" s="3" t="n"/>
      <c r="C51" s="3" t="n"/>
      <c r="D51" s="4" t="n"/>
      <c r="E51" s="4" t="n"/>
      <c r="F51" s="7">
        <f>IF($D51="","",$D51-$E51)</f>
        <v/>
      </c>
      <c r="G51" s="2" t="n"/>
      <c r="H51" s="6">
        <f>IF(AND(ISNUMBER($F51),$G51&lt;&gt;""),IF(AND($F51&gt;0,$G51&lt;TODAY()),TODAY()-$G51,""),"")</f>
        <v/>
      </c>
      <c r="I51" s="5" t="n"/>
      <c r="J51" s="2" t="n"/>
    </row>
    <row r="52">
      <c r="A52" s="2" t="n"/>
      <c r="B52" s="3" t="n"/>
      <c r="C52" s="3" t="n"/>
      <c r="D52" s="4" t="n"/>
      <c r="E52" s="4" t="n"/>
      <c r="F52" s="7">
        <f>IF($D52="","",$D52-$E52)</f>
        <v/>
      </c>
      <c r="G52" s="2" t="n"/>
      <c r="H52" s="6">
        <f>IF(AND(ISNUMBER($F52),$G52&lt;&gt;""),IF(AND($F52&gt;0,$G52&lt;TODAY()),TODAY()-$G52,""),"")</f>
        <v/>
      </c>
      <c r="I52" s="5" t="n"/>
      <c r="J52" s="2" t="n"/>
    </row>
    <row r="53">
      <c r="A53" s="2" t="n"/>
      <c r="B53" s="3" t="n"/>
      <c r="C53" s="3" t="n"/>
      <c r="D53" s="4" t="n"/>
      <c r="E53" s="4" t="n"/>
      <c r="F53" s="7">
        <f>IF($D53="","",$D53-$E53)</f>
        <v/>
      </c>
      <c r="G53" s="2" t="n"/>
      <c r="H53" s="6">
        <f>IF(AND(ISNUMBER($F53),$G53&lt;&gt;""),IF(AND($F53&gt;0,$G53&lt;TODAY()),TODAY()-$G53,""),"")</f>
        <v/>
      </c>
      <c r="I53" s="5" t="n"/>
      <c r="J53" s="2" t="n"/>
    </row>
    <row r="54">
      <c r="A54" s="2" t="n"/>
      <c r="B54" s="3" t="n"/>
      <c r="C54" s="3" t="n"/>
      <c r="D54" s="4" t="n"/>
      <c r="E54" s="4" t="n"/>
      <c r="F54" s="7">
        <f>IF($D54="","",$D54-$E54)</f>
        <v/>
      </c>
      <c r="G54" s="2" t="n"/>
      <c r="H54" s="6">
        <f>IF(AND(ISNUMBER($F54),$G54&lt;&gt;""),IF(AND($F54&gt;0,$G54&lt;TODAY()),TODAY()-$G54,""),"")</f>
        <v/>
      </c>
      <c r="I54" s="5" t="n"/>
      <c r="J54" s="2" t="n"/>
    </row>
    <row r="55">
      <c r="A55" s="2" t="n"/>
      <c r="B55" s="3" t="n"/>
      <c r="C55" s="3" t="n"/>
      <c r="D55" s="4" t="n"/>
      <c r="E55" s="4" t="n"/>
      <c r="F55" s="7">
        <f>IF($D55="","",$D55-$E55)</f>
        <v/>
      </c>
      <c r="G55" s="2" t="n"/>
      <c r="H55" s="6">
        <f>IF(AND(ISNUMBER($F55),$G55&lt;&gt;""),IF(AND($F55&gt;0,$G55&lt;TODAY()),TODAY()-$G55,""),"")</f>
        <v/>
      </c>
      <c r="I55" s="5" t="n"/>
      <c r="J55" s="2" t="n"/>
    </row>
    <row r="56">
      <c r="A56" s="2" t="n"/>
      <c r="B56" s="3" t="n"/>
      <c r="C56" s="3" t="n"/>
      <c r="D56" s="4" t="n"/>
      <c r="E56" s="4" t="n"/>
      <c r="F56" s="7">
        <f>IF($D56="","",$D56-$E56)</f>
        <v/>
      </c>
      <c r="G56" s="2" t="n"/>
      <c r="H56" s="6">
        <f>IF(AND(ISNUMBER($F56),$G56&lt;&gt;""),IF(AND($F56&gt;0,$G56&lt;TODAY()),TODAY()-$G56,""),"")</f>
        <v/>
      </c>
      <c r="I56" s="5" t="n"/>
      <c r="J56" s="2" t="n"/>
    </row>
    <row r="57">
      <c r="A57" s="2" t="n"/>
      <c r="B57" s="3" t="n"/>
      <c r="C57" s="3" t="n"/>
      <c r="D57" s="4" t="n"/>
      <c r="E57" s="4" t="n"/>
      <c r="F57" s="7">
        <f>IF($D57="","",$D57-$E57)</f>
        <v/>
      </c>
      <c r="G57" s="2" t="n"/>
      <c r="H57" s="6">
        <f>IF(AND(ISNUMBER($F57),$G57&lt;&gt;""),IF(AND($F57&gt;0,$G57&lt;TODAY()),TODAY()-$G57,""),"")</f>
        <v/>
      </c>
      <c r="I57" s="5" t="n"/>
      <c r="J57" s="2" t="n"/>
    </row>
    <row r="58">
      <c r="A58" s="2" t="n"/>
      <c r="B58" s="3" t="n"/>
      <c r="C58" s="3" t="n"/>
      <c r="D58" s="4" t="n"/>
      <c r="E58" s="4" t="n"/>
      <c r="F58" s="7">
        <f>IF($D58="","",$D58-$E58)</f>
        <v/>
      </c>
      <c r="G58" s="2" t="n"/>
      <c r="H58" s="6">
        <f>IF(AND(ISNUMBER($F58),$G58&lt;&gt;""),IF(AND($F58&gt;0,$G58&lt;TODAY()),TODAY()-$G58,""),"")</f>
        <v/>
      </c>
      <c r="I58" s="5" t="n"/>
      <c r="J58" s="2" t="n"/>
    </row>
    <row r="59">
      <c r="A59" s="2" t="n"/>
      <c r="B59" s="3" t="n"/>
      <c r="C59" s="3" t="n"/>
      <c r="D59" s="4" t="n"/>
      <c r="E59" s="4" t="n"/>
      <c r="F59" s="7">
        <f>IF($D59="","",$D59-$E59)</f>
        <v/>
      </c>
      <c r="G59" s="2" t="n"/>
      <c r="H59" s="6">
        <f>IF(AND(ISNUMBER($F59),$G59&lt;&gt;""),IF(AND($F59&gt;0,$G59&lt;TODAY()),TODAY()-$G59,""),"")</f>
        <v/>
      </c>
      <c r="I59" s="5" t="n"/>
      <c r="J59" s="2" t="n"/>
    </row>
    <row r="60">
      <c r="A60" s="2" t="n"/>
      <c r="B60" s="3" t="n"/>
      <c r="C60" s="3" t="n"/>
      <c r="D60" s="4" t="n"/>
      <c r="E60" s="4" t="n"/>
      <c r="F60" s="7">
        <f>IF($D60="","",$D60-$E60)</f>
        <v/>
      </c>
      <c r="G60" s="2" t="n"/>
      <c r="H60" s="6">
        <f>IF(AND(ISNUMBER($F60),$G60&lt;&gt;""),IF(AND($F60&gt;0,$G60&lt;TODAY()),TODAY()-$G60,""),"")</f>
        <v/>
      </c>
      <c r="I60" s="5" t="n"/>
      <c r="J60" s="2" t="n"/>
    </row>
    <row r="61">
      <c r="A61" s="2" t="n"/>
      <c r="B61" s="3" t="n"/>
      <c r="C61" s="3" t="n"/>
      <c r="D61" s="4" t="n"/>
      <c r="E61" s="4" t="n"/>
      <c r="F61" s="7">
        <f>IF($D61="","",$D61-$E61)</f>
        <v/>
      </c>
      <c r="G61" s="2" t="n"/>
      <c r="H61" s="6">
        <f>IF(AND(ISNUMBER($F61),$G61&lt;&gt;""),IF(AND($F61&gt;0,$G61&lt;TODAY()),TODAY()-$G61,""),"")</f>
        <v/>
      </c>
      <c r="I61" s="5" t="n"/>
      <c r="J61" s="2" t="n"/>
    </row>
    <row r="62">
      <c r="A62" s="2" t="n"/>
      <c r="B62" s="3" t="n"/>
      <c r="C62" s="3" t="n"/>
      <c r="D62" s="4" t="n"/>
      <c r="E62" s="4" t="n"/>
      <c r="F62" s="7">
        <f>IF($D62="","",$D62-$E62)</f>
        <v/>
      </c>
      <c r="G62" s="2" t="n"/>
      <c r="H62" s="6">
        <f>IF(AND(ISNUMBER($F62),$G62&lt;&gt;""),IF(AND($F62&gt;0,$G62&lt;TODAY()),TODAY()-$G62,""),"")</f>
        <v/>
      </c>
      <c r="I62" s="5" t="n"/>
      <c r="J62" s="2" t="n"/>
    </row>
    <row r="63">
      <c r="A63" s="2" t="n"/>
      <c r="B63" s="3" t="n"/>
      <c r="C63" s="3" t="n"/>
      <c r="D63" s="4" t="n"/>
      <c r="E63" s="4" t="n"/>
      <c r="F63" s="7">
        <f>IF($D63="","",$D63-$E63)</f>
        <v/>
      </c>
      <c r="G63" s="2" t="n"/>
      <c r="H63" s="6">
        <f>IF(AND(ISNUMBER($F63),$G63&lt;&gt;""),IF(AND($F63&gt;0,$G63&lt;TODAY()),TODAY()-$G63,""),"")</f>
        <v/>
      </c>
      <c r="I63" s="5" t="n"/>
      <c r="J63" s="2" t="n"/>
    </row>
    <row r="64">
      <c r="A64" s="2" t="n"/>
      <c r="B64" s="3" t="n"/>
      <c r="C64" s="3" t="n"/>
      <c r="D64" s="4" t="n"/>
      <c r="E64" s="4" t="n"/>
      <c r="F64" s="7">
        <f>IF($D64="","",$D64-$E64)</f>
        <v/>
      </c>
      <c r="G64" s="2" t="n"/>
      <c r="H64" s="6">
        <f>IF(AND(ISNUMBER($F64),$G64&lt;&gt;""),IF(AND($F64&gt;0,$G64&lt;TODAY()),TODAY()-$G64,""),"")</f>
        <v/>
      </c>
      <c r="I64" s="5" t="n"/>
      <c r="J64" s="2" t="n"/>
    </row>
    <row r="65">
      <c r="A65" s="2" t="n"/>
      <c r="B65" s="3" t="n"/>
      <c r="C65" s="3" t="n"/>
      <c r="D65" s="4" t="n"/>
      <c r="E65" s="4" t="n"/>
      <c r="F65" s="7">
        <f>IF($D65="","",$D65-$E65)</f>
        <v/>
      </c>
      <c r="G65" s="2" t="n"/>
      <c r="H65" s="6">
        <f>IF(AND(ISNUMBER($F65),$G65&lt;&gt;""),IF(AND($F65&gt;0,$G65&lt;TODAY()),TODAY()-$G65,""),"")</f>
        <v/>
      </c>
      <c r="I65" s="5" t="n"/>
      <c r="J65" s="2" t="n"/>
    </row>
    <row r="66">
      <c r="A66" s="2" t="n"/>
      <c r="B66" s="3" t="n"/>
      <c r="C66" s="3" t="n"/>
      <c r="D66" s="4" t="n"/>
      <c r="E66" s="4" t="n"/>
      <c r="F66" s="7">
        <f>IF($D66="","",$D66-$E66)</f>
        <v/>
      </c>
      <c r="G66" s="2" t="n"/>
      <c r="H66" s="6">
        <f>IF(AND(ISNUMBER($F66),$G66&lt;&gt;""),IF(AND($F66&gt;0,$G66&lt;TODAY()),TODAY()-$G66,""),"")</f>
        <v/>
      </c>
      <c r="I66" s="5" t="n"/>
      <c r="J66" s="2" t="n"/>
    </row>
    <row r="67">
      <c r="A67" s="2" t="n"/>
      <c r="B67" s="3" t="n"/>
      <c r="C67" s="3" t="n"/>
      <c r="D67" s="4" t="n"/>
      <c r="E67" s="4" t="n"/>
      <c r="F67" s="7">
        <f>IF($D67="","",$D67-$E67)</f>
        <v/>
      </c>
      <c r="G67" s="2" t="n"/>
      <c r="H67" s="6">
        <f>IF(AND(ISNUMBER($F67),$G67&lt;&gt;""),IF(AND($F67&gt;0,$G67&lt;TODAY()),TODAY()-$G67,""),"")</f>
        <v/>
      </c>
      <c r="I67" s="5" t="n"/>
      <c r="J67" s="2" t="n"/>
    </row>
    <row r="68">
      <c r="A68" s="2" t="n"/>
      <c r="B68" s="3" t="n"/>
      <c r="C68" s="3" t="n"/>
      <c r="D68" s="4" t="n"/>
      <c r="E68" s="4" t="n"/>
      <c r="F68" s="7">
        <f>IF($D68="","",$D68-$E68)</f>
        <v/>
      </c>
      <c r="G68" s="2" t="n"/>
      <c r="H68" s="6">
        <f>IF(AND(ISNUMBER($F68),$G68&lt;&gt;""),IF(AND($F68&gt;0,$G68&lt;TODAY()),TODAY()-$G68,""),"")</f>
        <v/>
      </c>
      <c r="I68" s="5" t="n"/>
      <c r="J68" s="2" t="n"/>
    </row>
    <row r="69">
      <c r="A69" s="2" t="n"/>
      <c r="B69" s="3" t="n"/>
      <c r="C69" s="3" t="n"/>
      <c r="D69" s="4" t="n"/>
      <c r="E69" s="4" t="n"/>
      <c r="F69" s="7">
        <f>IF($D69="","",$D69-$E69)</f>
        <v/>
      </c>
      <c r="G69" s="2" t="n"/>
      <c r="H69" s="6">
        <f>IF(AND(ISNUMBER($F69),$G69&lt;&gt;""),IF(AND($F69&gt;0,$G69&lt;TODAY()),TODAY()-$G69,""),"")</f>
        <v/>
      </c>
      <c r="I69" s="5" t="n"/>
      <c r="J69" s="2" t="n"/>
    </row>
    <row r="70">
      <c r="A70" s="2" t="n"/>
      <c r="B70" s="3" t="n"/>
      <c r="C70" s="3" t="n"/>
      <c r="D70" s="4" t="n"/>
      <c r="E70" s="4" t="n"/>
      <c r="F70" s="7">
        <f>IF($D70="","",$D70-$E70)</f>
        <v/>
      </c>
      <c r="G70" s="2" t="n"/>
      <c r="H70" s="6">
        <f>IF(AND(ISNUMBER($F70),$G70&lt;&gt;""),IF(AND($F70&gt;0,$G70&lt;TODAY()),TODAY()-$G70,""),"")</f>
        <v/>
      </c>
      <c r="I70" s="5" t="n"/>
      <c r="J70" s="2" t="n"/>
    </row>
    <row r="71">
      <c r="A71" s="2" t="n"/>
      <c r="B71" s="3" t="n"/>
      <c r="C71" s="3" t="n"/>
      <c r="D71" s="4" t="n"/>
      <c r="E71" s="4" t="n"/>
      <c r="F71" s="7">
        <f>IF($D71="","",$D71-$E71)</f>
        <v/>
      </c>
      <c r="G71" s="2" t="n"/>
      <c r="H71" s="6">
        <f>IF(AND(ISNUMBER($F71),$G71&lt;&gt;""),IF(AND($F71&gt;0,$G71&lt;TODAY()),TODAY()-$G71,""),"")</f>
        <v/>
      </c>
      <c r="I71" s="5" t="n"/>
      <c r="J71" s="2" t="n"/>
    </row>
    <row r="72">
      <c r="A72" s="2" t="n"/>
      <c r="B72" s="3" t="n"/>
      <c r="C72" s="3" t="n"/>
      <c r="D72" s="4" t="n"/>
      <c r="E72" s="4" t="n"/>
      <c r="F72" s="7">
        <f>IF($D72="","",$D72-$E72)</f>
        <v/>
      </c>
      <c r="G72" s="2" t="n"/>
      <c r="H72" s="6">
        <f>IF(AND(ISNUMBER($F72),$G72&lt;&gt;""),IF(AND($F72&gt;0,$G72&lt;TODAY()),TODAY()-$G72,""),"")</f>
        <v/>
      </c>
      <c r="I72" s="5" t="n"/>
      <c r="J72" s="2" t="n"/>
    </row>
    <row r="73">
      <c r="A73" s="2" t="n"/>
      <c r="B73" s="3" t="n"/>
      <c r="C73" s="3" t="n"/>
      <c r="D73" s="4" t="n"/>
      <c r="E73" s="4" t="n"/>
      <c r="F73" s="7">
        <f>IF($D73="","",$D73-$E73)</f>
        <v/>
      </c>
      <c r="G73" s="2" t="n"/>
      <c r="H73" s="6">
        <f>IF(AND(ISNUMBER($F73),$G73&lt;&gt;""),IF(AND($F73&gt;0,$G73&lt;TODAY()),TODAY()-$G73,""),"")</f>
        <v/>
      </c>
      <c r="I73" s="5" t="n"/>
      <c r="J73" s="2" t="n"/>
    </row>
    <row r="74">
      <c r="A74" s="2" t="n"/>
      <c r="B74" s="3" t="n"/>
      <c r="C74" s="3" t="n"/>
      <c r="D74" s="4" t="n"/>
      <c r="E74" s="4" t="n"/>
      <c r="F74" s="7">
        <f>IF($D74="","",$D74-$E74)</f>
        <v/>
      </c>
      <c r="G74" s="2" t="n"/>
      <c r="H74" s="6">
        <f>IF(AND(ISNUMBER($F74),$G74&lt;&gt;""),IF(AND($F74&gt;0,$G74&lt;TODAY()),TODAY()-$G74,""),"")</f>
        <v/>
      </c>
      <c r="I74" s="5" t="n"/>
      <c r="J74" s="2" t="n"/>
    </row>
    <row r="75">
      <c r="A75" s="2" t="n"/>
      <c r="B75" s="3" t="n"/>
      <c r="C75" s="3" t="n"/>
      <c r="D75" s="4" t="n"/>
      <c r="E75" s="4" t="n"/>
      <c r="F75" s="7">
        <f>IF($D75="","",$D75-$E75)</f>
        <v/>
      </c>
      <c r="G75" s="2" t="n"/>
      <c r="H75" s="6">
        <f>IF(AND(ISNUMBER($F75),$G75&lt;&gt;""),IF(AND($F75&gt;0,$G75&lt;TODAY()),TODAY()-$G75,""),"")</f>
        <v/>
      </c>
      <c r="I75" s="5" t="n"/>
      <c r="J75" s="2" t="n"/>
    </row>
    <row r="76">
      <c r="A76" s="2" t="n"/>
      <c r="B76" s="3" t="n"/>
      <c r="C76" s="3" t="n"/>
      <c r="D76" s="4" t="n"/>
      <c r="E76" s="4" t="n"/>
      <c r="F76" s="7">
        <f>IF($D76="","",$D76-$E76)</f>
        <v/>
      </c>
      <c r="G76" s="2" t="n"/>
      <c r="H76" s="6">
        <f>IF(AND(ISNUMBER($F76),$G76&lt;&gt;""),IF(AND($F76&gt;0,$G76&lt;TODAY()),TODAY()-$G76,""),"")</f>
        <v/>
      </c>
      <c r="I76" s="5" t="n"/>
      <c r="J76" s="2" t="n"/>
    </row>
    <row r="77">
      <c r="A77" s="2" t="n"/>
      <c r="B77" s="3" t="n"/>
      <c r="C77" s="3" t="n"/>
      <c r="D77" s="4" t="n"/>
      <c r="E77" s="4" t="n"/>
      <c r="F77" s="7">
        <f>IF($D77="","",$D77-$E77)</f>
        <v/>
      </c>
      <c r="G77" s="2" t="n"/>
      <c r="H77" s="6">
        <f>IF(AND(ISNUMBER($F77),$G77&lt;&gt;""),IF(AND($F77&gt;0,$G77&lt;TODAY()),TODAY()-$G77,""),"")</f>
        <v/>
      </c>
      <c r="I77" s="5" t="n"/>
      <c r="J77" s="2" t="n"/>
    </row>
    <row r="78">
      <c r="A78" s="2" t="n"/>
      <c r="B78" s="3" t="n"/>
      <c r="C78" s="3" t="n"/>
      <c r="D78" s="4" t="n"/>
      <c r="E78" s="4" t="n"/>
      <c r="F78" s="7">
        <f>IF($D78="","",$D78-$E78)</f>
        <v/>
      </c>
      <c r="G78" s="2" t="n"/>
      <c r="H78" s="6">
        <f>IF(AND(ISNUMBER($F78),$G78&lt;&gt;""),IF(AND($F78&gt;0,$G78&lt;TODAY()),TODAY()-$G78,""),"")</f>
        <v/>
      </c>
      <c r="I78" s="5" t="n"/>
      <c r="J78" s="2" t="n"/>
    </row>
    <row r="79">
      <c r="A79" s="2" t="n"/>
      <c r="B79" s="3" t="n"/>
      <c r="C79" s="3" t="n"/>
      <c r="D79" s="4" t="n"/>
      <c r="E79" s="4" t="n"/>
      <c r="F79" s="7">
        <f>IF($D79="","",$D79-$E79)</f>
        <v/>
      </c>
      <c r="G79" s="2" t="n"/>
      <c r="H79" s="6">
        <f>IF(AND(ISNUMBER($F79),$G79&lt;&gt;""),IF(AND($F79&gt;0,$G79&lt;TODAY()),TODAY()-$G79,""),"")</f>
        <v/>
      </c>
      <c r="I79" s="5" t="n"/>
      <c r="J79" s="2" t="n"/>
    </row>
    <row r="80">
      <c r="A80" s="2" t="n"/>
      <c r="B80" s="3" t="n"/>
      <c r="C80" s="3" t="n"/>
      <c r="D80" s="4" t="n"/>
      <c r="E80" s="4" t="n"/>
      <c r="F80" s="7">
        <f>IF($D80="","",$D80-$E80)</f>
        <v/>
      </c>
      <c r="G80" s="2" t="n"/>
      <c r="H80" s="6">
        <f>IF(AND(ISNUMBER($F80),$G80&lt;&gt;""),IF(AND($F80&gt;0,$G80&lt;TODAY()),TODAY()-$G80,""),"")</f>
        <v/>
      </c>
      <c r="I80" s="5" t="n"/>
      <c r="J80" s="2" t="n"/>
    </row>
    <row r="81">
      <c r="A81" s="2" t="n"/>
      <c r="B81" s="3" t="n"/>
      <c r="C81" s="3" t="n"/>
      <c r="D81" s="4" t="n"/>
      <c r="E81" s="4" t="n"/>
      <c r="F81" s="7">
        <f>IF($D81="","",$D81-$E81)</f>
        <v/>
      </c>
      <c r="G81" s="2" t="n"/>
      <c r="H81" s="6">
        <f>IF(AND(ISNUMBER($F81),$G81&lt;&gt;""),IF(AND($F81&gt;0,$G81&lt;TODAY()),TODAY()-$G81,""),"")</f>
        <v/>
      </c>
      <c r="I81" s="5" t="n"/>
      <c r="J81" s="2" t="n"/>
    </row>
    <row r="82">
      <c r="A82" s="2" t="n"/>
      <c r="B82" s="3" t="n"/>
      <c r="C82" s="3" t="n"/>
      <c r="D82" s="4" t="n"/>
      <c r="E82" s="4" t="n"/>
      <c r="F82" s="7">
        <f>IF($D82="","",$D82-$E82)</f>
        <v/>
      </c>
      <c r="G82" s="2" t="n"/>
      <c r="H82" s="6">
        <f>IF(AND(ISNUMBER($F82),$G82&lt;&gt;""),IF(AND($F82&gt;0,$G82&lt;TODAY()),TODAY()-$G82,""),"")</f>
        <v/>
      </c>
      <c r="I82" s="5" t="n"/>
      <c r="J82" s="2" t="n"/>
    </row>
    <row r="83">
      <c r="A83" s="2" t="n"/>
      <c r="B83" s="3" t="n"/>
      <c r="C83" s="3" t="n"/>
      <c r="D83" s="4" t="n"/>
      <c r="E83" s="4" t="n"/>
      <c r="F83" s="7">
        <f>IF($D83="","",$D83-$E83)</f>
        <v/>
      </c>
      <c r="G83" s="2" t="n"/>
      <c r="H83" s="6">
        <f>IF(AND(ISNUMBER($F83),$G83&lt;&gt;""),IF(AND($F83&gt;0,$G83&lt;TODAY()),TODAY()-$G83,""),"")</f>
        <v/>
      </c>
      <c r="I83" s="5" t="n"/>
      <c r="J83" s="2" t="n"/>
    </row>
    <row r="84">
      <c r="A84" s="2" t="n"/>
      <c r="B84" s="3" t="n"/>
      <c r="C84" s="3" t="n"/>
      <c r="D84" s="4" t="n"/>
      <c r="E84" s="4" t="n"/>
      <c r="F84" s="7">
        <f>IF($D84="","",$D84-$E84)</f>
        <v/>
      </c>
      <c r="G84" s="2" t="n"/>
      <c r="H84" s="6">
        <f>IF(AND(ISNUMBER($F84),$G84&lt;&gt;""),IF(AND($F84&gt;0,$G84&lt;TODAY()),TODAY()-$G84,""),"")</f>
        <v/>
      </c>
      <c r="I84" s="5" t="n"/>
      <c r="J84" s="2" t="n"/>
    </row>
    <row r="85">
      <c r="A85" s="2" t="n"/>
      <c r="B85" s="3" t="n"/>
      <c r="C85" s="3" t="n"/>
      <c r="D85" s="4" t="n"/>
      <c r="E85" s="4" t="n"/>
      <c r="F85" s="7">
        <f>IF($D85="","",$D85-$E85)</f>
        <v/>
      </c>
      <c r="G85" s="2" t="n"/>
      <c r="H85" s="6">
        <f>IF(AND(ISNUMBER($F85),$G85&lt;&gt;""),IF(AND($F85&gt;0,$G85&lt;TODAY()),TODAY()-$G85,""),"")</f>
        <v/>
      </c>
      <c r="I85" s="5" t="n"/>
      <c r="J85" s="2" t="n"/>
    </row>
    <row r="86">
      <c r="A86" s="2" t="n"/>
      <c r="B86" s="3" t="n"/>
      <c r="C86" s="3" t="n"/>
      <c r="D86" s="4" t="n"/>
      <c r="E86" s="4" t="n"/>
      <c r="F86" s="7">
        <f>IF($D86="","",$D86-$E86)</f>
        <v/>
      </c>
      <c r="G86" s="2" t="n"/>
      <c r="H86" s="6">
        <f>IF(AND(ISNUMBER($F86),$G86&lt;&gt;""),IF(AND($F86&gt;0,$G86&lt;TODAY()),TODAY()-$G86,""),"")</f>
        <v/>
      </c>
      <c r="I86" s="5" t="n"/>
      <c r="J86" s="2" t="n"/>
    </row>
    <row r="87">
      <c r="A87" s="2" t="n"/>
      <c r="B87" s="3" t="n"/>
      <c r="C87" s="3" t="n"/>
      <c r="D87" s="4" t="n"/>
      <c r="E87" s="4" t="n"/>
      <c r="F87" s="7">
        <f>IF($D87="","",$D87-$E87)</f>
        <v/>
      </c>
      <c r="G87" s="2" t="n"/>
      <c r="H87" s="6">
        <f>IF(AND(ISNUMBER($F87),$G87&lt;&gt;""),IF(AND($F87&gt;0,$G87&lt;TODAY()),TODAY()-$G87,""),"")</f>
        <v/>
      </c>
      <c r="I87" s="5" t="n"/>
      <c r="J87" s="2" t="n"/>
    </row>
    <row r="88">
      <c r="A88" s="2" t="n"/>
      <c r="B88" s="3" t="n"/>
      <c r="C88" s="3" t="n"/>
      <c r="D88" s="4" t="n"/>
      <c r="E88" s="4" t="n"/>
      <c r="F88" s="7">
        <f>IF($D88="","",$D88-$E88)</f>
        <v/>
      </c>
      <c r="G88" s="2" t="n"/>
      <c r="H88" s="6">
        <f>IF(AND(ISNUMBER($F88),$G88&lt;&gt;""),IF(AND($F88&gt;0,$G88&lt;TODAY()),TODAY()-$G88,""),"")</f>
        <v/>
      </c>
      <c r="I88" s="5" t="n"/>
      <c r="J88" s="2" t="n"/>
    </row>
    <row r="89">
      <c r="A89" s="2" t="n"/>
      <c r="B89" s="3" t="n"/>
      <c r="C89" s="3" t="n"/>
      <c r="D89" s="4" t="n"/>
      <c r="E89" s="4" t="n"/>
      <c r="F89" s="7">
        <f>IF($D89="","",$D89-$E89)</f>
        <v/>
      </c>
      <c r="G89" s="2" t="n"/>
      <c r="H89" s="6">
        <f>IF(AND(ISNUMBER($F89),$G89&lt;&gt;""),IF(AND($F89&gt;0,$G89&lt;TODAY()),TODAY()-$G89,""),"")</f>
        <v/>
      </c>
      <c r="I89" s="5" t="n"/>
      <c r="J89" s="2" t="n"/>
    </row>
    <row r="90">
      <c r="A90" s="2" t="n"/>
      <c r="B90" s="3" t="n"/>
      <c r="C90" s="3" t="n"/>
      <c r="D90" s="4" t="n"/>
      <c r="E90" s="4" t="n"/>
      <c r="F90" s="7">
        <f>IF($D90="","",$D90-$E90)</f>
        <v/>
      </c>
      <c r="G90" s="2" t="n"/>
      <c r="H90" s="6">
        <f>IF(AND(ISNUMBER($F90),$G90&lt;&gt;""),IF(AND($F90&gt;0,$G90&lt;TODAY()),TODAY()-$G90,""),"")</f>
        <v/>
      </c>
      <c r="I90" s="5" t="n"/>
      <c r="J90" s="2" t="n"/>
    </row>
    <row r="91">
      <c r="A91" s="2" t="n"/>
      <c r="B91" s="3" t="n"/>
      <c r="C91" s="3" t="n"/>
      <c r="D91" s="4" t="n"/>
      <c r="E91" s="4" t="n"/>
      <c r="F91" s="7">
        <f>IF($D91="","",$D91-$E91)</f>
        <v/>
      </c>
      <c r="G91" s="2" t="n"/>
      <c r="H91" s="6">
        <f>IF(AND(ISNUMBER($F91),$G91&lt;&gt;""),IF(AND($F91&gt;0,$G91&lt;TODAY()),TODAY()-$G91,""),"")</f>
        <v/>
      </c>
      <c r="I91" s="5" t="n"/>
      <c r="J91" s="2" t="n"/>
    </row>
    <row r="92">
      <c r="A92" s="2" t="n"/>
      <c r="B92" s="3" t="n"/>
      <c r="C92" s="3" t="n"/>
      <c r="D92" s="4" t="n"/>
      <c r="E92" s="4" t="n"/>
      <c r="F92" s="7">
        <f>IF($D92="","",$D92-$E92)</f>
        <v/>
      </c>
      <c r="G92" s="2" t="n"/>
      <c r="H92" s="6">
        <f>IF(AND(ISNUMBER($F92),$G92&lt;&gt;""),IF(AND($F92&gt;0,$G92&lt;TODAY()),TODAY()-$G92,""),"")</f>
        <v/>
      </c>
      <c r="I92" s="5" t="n"/>
      <c r="J92" s="2" t="n"/>
    </row>
    <row r="93">
      <c r="A93" s="2" t="n"/>
      <c r="B93" s="3" t="n"/>
      <c r="C93" s="3" t="n"/>
      <c r="D93" s="4" t="n"/>
      <c r="E93" s="4" t="n"/>
      <c r="F93" s="7">
        <f>IF($D93="","",$D93-$E93)</f>
        <v/>
      </c>
      <c r="G93" s="2" t="n"/>
      <c r="H93" s="6">
        <f>IF(AND(ISNUMBER($F93),$G93&lt;&gt;""),IF(AND($F93&gt;0,$G93&lt;TODAY()),TODAY()-$G93,""),"")</f>
        <v/>
      </c>
      <c r="I93" s="5" t="n"/>
      <c r="J93" s="2" t="n"/>
    </row>
    <row r="94">
      <c r="A94" s="2" t="n"/>
      <c r="B94" s="3" t="n"/>
      <c r="C94" s="3" t="n"/>
      <c r="D94" s="4" t="n"/>
      <c r="E94" s="4" t="n"/>
      <c r="F94" s="7">
        <f>IF($D94="","",$D94-$E94)</f>
        <v/>
      </c>
      <c r="G94" s="2" t="n"/>
      <c r="H94" s="6">
        <f>IF(AND(ISNUMBER($F94),$G94&lt;&gt;""),IF(AND($F94&gt;0,$G94&lt;TODAY()),TODAY()-$G94,""),"")</f>
        <v/>
      </c>
      <c r="I94" s="5" t="n"/>
      <c r="J94" s="2" t="n"/>
    </row>
    <row r="95">
      <c r="A95" s="2" t="n"/>
      <c r="B95" s="3" t="n"/>
      <c r="C95" s="3" t="n"/>
      <c r="D95" s="4" t="n"/>
      <c r="E95" s="4" t="n"/>
      <c r="F95" s="7">
        <f>IF($D95="","",$D95-$E95)</f>
        <v/>
      </c>
      <c r="G95" s="2" t="n"/>
      <c r="H95" s="6">
        <f>IF(AND(ISNUMBER($F95),$G95&lt;&gt;""),IF(AND($F95&gt;0,$G95&lt;TODAY()),TODAY()-$G95,""),"")</f>
        <v/>
      </c>
      <c r="I95" s="5" t="n"/>
      <c r="J95" s="2" t="n"/>
    </row>
    <row r="96">
      <c r="A96" s="2" t="n"/>
      <c r="B96" s="3" t="n"/>
      <c r="C96" s="3" t="n"/>
      <c r="D96" s="4" t="n"/>
      <c r="E96" s="4" t="n"/>
      <c r="F96" s="7">
        <f>IF($D96="","",$D96-$E96)</f>
        <v/>
      </c>
      <c r="G96" s="2" t="n"/>
      <c r="H96" s="6">
        <f>IF(AND(ISNUMBER($F96),$G96&lt;&gt;""),IF(AND($F96&gt;0,$G96&lt;TODAY()),TODAY()-$G96,""),"")</f>
        <v/>
      </c>
      <c r="I96" s="5" t="n"/>
      <c r="J96" s="2" t="n"/>
    </row>
    <row r="97">
      <c r="A97" s="2" t="n"/>
      <c r="B97" s="3" t="n"/>
      <c r="C97" s="3" t="n"/>
      <c r="D97" s="4" t="n"/>
      <c r="E97" s="4" t="n"/>
      <c r="F97" s="7">
        <f>IF($D97="","",$D97-$E97)</f>
        <v/>
      </c>
      <c r="G97" s="2" t="n"/>
      <c r="H97" s="6">
        <f>IF(AND(ISNUMBER($F97),$G97&lt;&gt;""),IF(AND($F97&gt;0,$G97&lt;TODAY()),TODAY()-$G97,""),"")</f>
        <v/>
      </c>
      <c r="I97" s="5" t="n"/>
      <c r="J97" s="2" t="n"/>
    </row>
    <row r="98">
      <c r="A98" s="2" t="n"/>
      <c r="B98" s="3" t="n"/>
      <c r="C98" s="3" t="n"/>
      <c r="D98" s="4" t="n"/>
      <c r="E98" s="4" t="n"/>
      <c r="F98" s="7">
        <f>IF($D98="","",$D98-$E98)</f>
        <v/>
      </c>
      <c r="G98" s="2" t="n"/>
      <c r="H98" s="6">
        <f>IF(AND(ISNUMBER($F98),$G98&lt;&gt;""),IF(AND($F98&gt;0,$G98&lt;TODAY()),TODAY()-$G98,""),"")</f>
        <v/>
      </c>
      <c r="I98" s="5" t="n"/>
      <c r="J98" s="2" t="n"/>
    </row>
    <row r="99">
      <c r="A99" s="2" t="n"/>
      <c r="B99" s="3" t="n"/>
      <c r="C99" s="3" t="n"/>
      <c r="D99" s="4" t="n"/>
      <c r="E99" s="4" t="n"/>
      <c r="F99" s="7">
        <f>IF($D99="","",$D99-$E99)</f>
        <v/>
      </c>
      <c r="G99" s="2" t="n"/>
      <c r="H99" s="6">
        <f>IF(AND(ISNUMBER($F99),$G99&lt;&gt;""),IF(AND($F99&gt;0,$G99&lt;TODAY()),TODAY()-$G99,""),"")</f>
        <v/>
      </c>
      <c r="I99" s="5" t="n"/>
      <c r="J99" s="2" t="n"/>
    </row>
    <row r="100">
      <c r="A100" s="2" t="n"/>
      <c r="B100" s="3" t="n"/>
      <c r="C100" s="3" t="n"/>
      <c r="D100" s="4" t="n"/>
      <c r="E100" s="4" t="n"/>
      <c r="F100" s="7">
        <f>IF($D100="","",$D100-$E100)</f>
        <v/>
      </c>
      <c r="G100" s="2" t="n"/>
      <c r="H100" s="6">
        <f>IF(AND(ISNUMBER($F100),$G100&lt;&gt;""),IF(AND($F100&gt;0,$G100&lt;TODAY()),TODAY()-$G100,""),"")</f>
        <v/>
      </c>
      <c r="I100" s="5" t="n"/>
      <c r="J100" s="2" t="n"/>
    </row>
    <row r="101">
      <c r="A101" s="2" t="n"/>
      <c r="B101" s="3" t="n"/>
      <c r="C101" s="3" t="n"/>
      <c r="D101" s="4" t="n"/>
      <c r="E101" s="4" t="n"/>
      <c r="F101" s="7">
        <f>IF($D101="","",$D101-$E101)</f>
        <v/>
      </c>
      <c r="G101" s="2" t="n"/>
      <c r="H101" s="6">
        <f>IF(AND(ISNUMBER($F101),$G101&lt;&gt;""),IF(AND($F101&gt;0,$G101&lt;TODAY()),TODAY()-$G101,""),"")</f>
        <v/>
      </c>
      <c r="I101" s="5" t="n"/>
      <c r="J101" s="2" t="n"/>
    </row>
    <row r="102">
      <c r="A102" s="2" t="n"/>
      <c r="B102" s="3" t="n"/>
      <c r="C102" s="3" t="n"/>
      <c r="D102" s="4" t="n"/>
      <c r="E102" s="4" t="n"/>
      <c r="F102" s="7">
        <f>IF($D102="","",$D102-$E102)</f>
        <v/>
      </c>
      <c r="G102" s="2" t="n"/>
      <c r="H102" s="6">
        <f>IF(AND(ISNUMBER($F102),$G102&lt;&gt;""),IF(AND($F102&gt;0,$G102&lt;TODAY()),TODAY()-$G102,""),"")</f>
        <v/>
      </c>
      <c r="I102" s="5" t="n"/>
      <c r="J102" s="2" t="n"/>
    </row>
    <row r="103">
      <c r="A103" s="2" t="n"/>
      <c r="B103" s="3" t="n"/>
      <c r="C103" s="3" t="n"/>
      <c r="D103" s="4" t="n"/>
      <c r="E103" s="4" t="n"/>
      <c r="F103" s="7">
        <f>IF($D103="","",$D103-$E103)</f>
        <v/>
      </c>
      <c r="G103" s="2" t="n"/>
      <c r="H103" s="6">
        <f>IF(AND(ISNUMBER($F103),$G103&lt;&gt;""),IF(AND($F103&gt;0,$G103&lt;TODAY()),TODAY()-$G103,""),"")</f>
        <v/>
      </c>
      <c r="I103" s="5" t="n"/>
      <c r="J103" s="2" t="n"/>
    </row>
    <row r="104">
      <c r="A104" s="2" t="n"/>
      <c r="B104" s="3" t="n"/>
      <c r="C104" s="3" t="n"/>
      <c r="D104" s="4" t="n"/>
      <c r="E104" s="4" t="n"/>
      <c r="F104" s="7">
        <f>IF($D104="","",$D104-$E104)</f>
        <v/>
      </c>
      <c r="G104" s="2" t="n"/>
      <c r="H104" s="6">
        <f>IF(AND(ISNUMBER($F104),$G104&lt;&gt;""),IF(AND($F104&gt;0,$G104&lt;TODAY()),TODAY()-$G104,""),"")</f>
        <v/>
      </c>
      <c r="I104" s="5" t="n"/>
      <c r="J104" s="2" t="n"/>
    </row>
    <row r="105">
      <c r="A105" s="2" t="n"/>
      <c r="B105" s="3" t="n"/>
      <c r="C105" s="3" t="n"/>
      <c r="D105" s="4" t="n"/>
      <c r="E105" s="4" t="n"/>
      <c r="F105" s="7">
        <f>IF($D105="","",$D105-$E105)</f>
        <v/>
      </c>
      <c r="G105" s="2" t="n"/>
      <c r="H105" s="6">
        <f>IF(AND(ISNUMBER($F105),$G105&lt;&gt;""),IF(AND($F105&gt;0,$G105&lt;TODAY()),TODAY()-$G105,""),"")</f>
        <v/>
      </c>
      <c r="I105" s="5" t="n"/>
      <c r="J105" s="2" t="n"/>
    </row>
    <row r="106">
      <c r="A106" s="2" t="n"/>
      <c r="B106" s="3" t="n"/>
      <c r="C106" s="3" t="n"/>
      <c r="D106" s="4" t="n"/>
      <c r="E106" s="4" t="n"/>
      <c r="F106" s="7">
        <f>IF($D106="","",$D106-$E106)</f>
        <v/>
      </c>
      <c r="G106" s="2" t="n"/>
      <c r="H106" s="6">
        <f>IF(AND(ISNUMBER($F106),$G106&lt;&gt;""),IF(AND($F106&gt;0,$G106&lt;TODAY()),TODAY()-$G106,""),"")</f>
        <v/>
      </c>
      <c r="I106" s="5" t="n"/>
      <c r="J106" s="2" t="n"/>
    </row>
    <row r="107">
      <c r="A107" s="2" t="n"/>
      <c r="B107" s="3" t="n"/>
      <c r="C107" s="3" t="n"/>
      <c r="D107" s="4" t="n"/>
      <c r="E107" s="4" t="n"/>
      <c r="F107" s="7">
        <f>IF($D107="","",$D107-$E107)</f>
        <v/>
      </c>
      <c r="G107" s="2" t="n"/>
      <c r="H107" s="6">
        <f>IF(AND(ISNUMBER($F107),$G107&lt;&gt;""),IF(AND($F107&gt;0,$G107&lt;TODAY()),TODAY()-$G107,""),"")</f>
        <v/>
      </c>
      <c r="I107" s="5" t="n"/>
      <c r="J107" s="2" t="n"/>
    </row>
    <row r="108">
      <c r="A108" s="2" t="n"/>
      <c r="B108" s="3" t="n"/>
      <c r="C108" s="3" t="n"/>
      <c r="D108" s="4" t="n"/>
      <c r="E108" s="4" t="n"/>
      <c r="F108" s="7">
        <f>IF($D108="","",$D108-$E108)</f>
        <v/>
      </c>
      <c r="G108" s="2" t="n"/>
      <c r="H108" s="6">
        <f>IF(AND(ISNUMBER($F108),$G108&lt;&gt;""),IF(AND($F108&gt;0,$G108&lt;TODAY()),TODAY()-$G108,""),"")</f>
        <v/>
      </c>
      <c r="I108" s="5" t="n"/>
      <c r="J108" s="2" t="n"/>
    </row>
    <row r="109">
      <c r="A109" s="2" t="n"/>
      <c r="B109" s="3" t="n"/>
      <c r="C109" s="3" t="n"/>
      <c r="D109" s="4" t="n"/>
      <c r="E109" s="4" t="n"/>
      <c r="F109" s="7">
        <f>IF($D109="","",$D109-$E109)</f>
        <v/>
      </c>
      <c r="G109" s="2" t="n"/>
      <c r="H109" s="6">
        <f>IF(AND(ISNUMBER($F109),$G109&lt;&gt;""),IF(AND($F109&gt;0,$G109&lt;TODAY()),TODAY()-$G109,""),"")</f>
        <v/>
      </c>
      <c r="I109" s="5" t="n"/>
      <c r="J109" s="2" t="n"/>
    </row>
    <row r="110">
      <c r="A110" s="2" t="n"/>
      <c r="B110" s="3" t="n"/>
      <c r="C110" s="3" t="n"/>
      <c r="D110" s="4" t="n"/>
      <c r="E110" s="4" t="n"/>
      <c r="F110" s="7">
        <f>IF($D110="","",$D110-$E110)</f>
        <v/>
      </c>
      <c r="G110" s="2" t="n"/>
      <c r="H110" s="6">
        <f>IF(AND(ISNUMBER($F110),$G110&lt;&gt;""),IF(AND($F110&gt;0,$G110&lt;TODAY()),TODAY()-$G110,""),"")</f>
        <v/>
      </c>
      <c r="I110" s="5" t="n"/>
      <c r="J110" s="2" t="n"/>
    </row>
    <row r="111">
      <c r="A111" s="2" t="n"/>
      <c r="B111" s="3" t="n"/>
      <c r="C111" s="3" t="n"/>
      <c r="D111" s="4" t="n"/>
      <c r="E111" s="4" t="n"/>
      <c r="F111" s="7">
        <f>IF($D111="","",$D111-$E111)</f>
        <v/>
      </c>
      <c r="G111" s="2" t="n"/>
      <c r="H111" s="6">
        <f>IF(AND(ISNUMBER($F111),$G111&lt;&gt;""),IF(AND($F111&gt;0,$G111&lt;TODAY()),TODAY()-$G111,""),"")</f>
        <v/>
      </c>
      <c r="I111" s="5" t="n"/>
      <c r="J111" s="2" t="n"/>
    </row>
    <row r="112">
      <c r="A112" s="2" t="n"/>
      <c r="B112" s="3" t="n"/>
      <c r="C112" s="3" t="n"/>
      <c r="D112" s="4" t="n"/>
      <c r="E112" s="4" t="n"/>
      <c r="F112" s="7">
        <f>IF($D112="","",$D112-$E112)</f>
        <v/>
      </c>
      <c r="G112" s="2" t="n"/>
      <c r="H112" s="6">
        <f>IF(AND(ISNUMBER($F112),$G112&lt;&gt;""),IF(AND($F112&gt;0,$G112&lt;TODAY()),TODAY()-$G112,""),"")</f>
        <v/>
      </c>
      <c r="I112" s="5" t="n"/>
      <c r="J112" s="2" t="n"/>
    </row>
    <row r="113">
      <c r="A113" s="2" t="n"/>
      <c r="B113" s="3" t="n"/>
      <c r="C113" s="3" t="n"/>
      <c r="D113" s="4" t="n"/>
      <c r="E113" s="4" t="n"/>
      <c r="F113" s="7">
        <f>IF($D113="","",$D113-$E113)</f>
        <v/>
      </c>
      <c r="G113" s="2" t="n"/>
      <c r="H113" s="6">
        <f>IF(AND(ISNUMBER($F113),$G113&lt;&gt;""),IF(AND($F113&gt;0,$G113&lt;TODAY()),TODAY()-$G113,""),"")</f>
        <v/>
      </c>
      <c r="I113" s="5" t="n"/>
      <c r="J113" s="2" t="n"/>
    </row>
    <row r="114">
      <c r="A114" s="2" t="n"/>
      <c r="B114" s="3" t="n"/>
      <c r="C114" s="3" t="n"/>
      <c r="D114" s="4" t="n"/>
      <c r="E114" s="4" t="n"/>
      <c r="F114" s="7">
        <f>IF($D114="","",$D114-$E114)</f>
        <v/>
      </c>
      <c r="G114" s="2" t="n"/>
      <c r="H114" s="6">
        <f>IF(AND(ISNUMBER($F114),$G114&lt;&gt;""),IF(AND($F114&gt;0,$G114&lt;TODAY()),TODAY()-$G114,""),"")</f>
        <v/>
      </c>
      <c r="I114" s="5" t="n"/>
      <c r="J114" s="2" t="n"/>
    </row>
    <row r="115">
      <c r="A115" s="2" t="n"/>
      <c r="B115" s="3" t="n"/>
      <c r="C115" s="3" t="n"/>
      <c r="D115" s="4" t="n"/>
      <c r="E115" s="4" t="n"/>
      <c r="F115" s="7">
        <f>IF($D115="","",$D115-$E115)</f>
        <v/>
      </c>
      <c r="G115" s="2" t="n"/>
      <c r="H115" s="6">
        <f>IF(AND(ISNUMBER($F115),$G115&lt;&gt;""),IF(AND($F115&gt;0,$G115&lt;TODAY()),TODAY()-$G115,""),"")</f>
        <v/>
      </c>
      <c r="I115" s="5" t="n"/>
      <c r="J115" s="2" t="n"/>
    </row>
    <row r="116">
      <c r="A116" s="2" t="n"/>
      <c r="B116" s="3" t="n"/>
      <c r="C116" s="3" t="n"/>
      <c r="D116" s="4" t="n"/>
      <c r="E116" s="4" t="n"/>
      <c r="F116" s="7">
        <f>IF($D116="","",$D116-$E116)</f>
        <v/>
      </c>
      <c r="G116" s="2" t="n"/>
      <c r="H116" s="6">
        <f>IF(AND(ISNUMBER($F116),$G116&lt;&gt;""),IF(AND($F116&gt;0,$G116&lt;TODAY()),TODAY()-$G116,""),"")</f>
        <v/>
      </c>
      <c r="I116" s="5" t="n"/>
      <c r="J116" s="2" t="n"/>
    </row>
    <row r="117">
      <c r="A117" s="2" t="n"/>
      <c r="B117" s="3" t="n"/>
      <c r="C117" s="3" t="n"/>
      <c r="D117" s="4" t="n"/>
      <c r="E117" s="4" t="n"/>
      <c r="F117" s="7">
        <f>IF($D117="","",$D117-$E117)</f>
        <v/>
      </c>
      <c r="G117" s="2" t="n"/>
      <c r="H117" s="6">
        <f>IF(AND(ISNUMBER($F117),$G117&lt;&gt;""),IF(AND($F117&gt;0,$G117&lt;TODAY()),TODAY()-$G117,""),"")</f>
        <v/>
      </c>
      <c r="I117" s="5" t="n"/>
      <c r="J117" s="2" t="n"/>
    </row>
    <row r="118">
      <c r="A118" s="2" t="n"/>
      <c r="B118" s="3" t="n"/>
      <c r="C118" s="3" t="n"/>
      <c r="D118" s="4" t="n"/>
      <c r="E118" s="4" t="n"/>
      <c r="F118" s="7">
        <f>IF($D118="","",$D118-$E118)</f>
        <v/>
      </c>
      <c r="G118" s="2" t="n"/>
      <c r="H118" s="6">
        <f>IF(AND(ISNUMBER($F118),$G118&lt;&gt;""),IF(AND($F118&gt;0,$G118&lt;TODAY()),TODAY()-$G118,""),"")</f>
        <v/>
      </c>
      <c r="I118" s="5" t="n"/>
      <c r="J118" s="2" t="n"/>
    </row>
    <row r="119">
      <c r="A119" s="2" t="n"/>
      <c r="B119" s="3" t="n"/>
      <c r="C119" s="3" t="n"/>
      <c r="D119" s="4" t="n"/>
      <c r="E119" s="4" t="n"/>
      <c r="F119" s="7">
        <f>IF($D119="","",$D119-$E119)</f>
        <v/>
      </c>
      <c r="G119" s="2" t="n"/>
      <c r="H119" s="6">
        <f>IF(AND(ISNUMBER($F119),$G119&lt;&gt;""),IF(AND($F119&gt;0,$G119&lt;TODAY()),TODAY()-$G119,""),"")</f>
        <v/>
      </c>
      <c r="I119" s="5" t="n"/>
      <c r="J119" s="2" t="n"/>
    </row>
    <row r="120">
      <c r="A120" s="2" t="n"/>
      <c r="B120" s="3" t="n"/>
      <c r="C120" s="3" t="n"/>
      <c r="D120" s="4" t="n"/>
      <c r="E120" s="4" t="n"/>
      <c r="F120" s="7">
        <f>IF($D120="","",$D120-$E120)</f>
        <v/>
      </c>
      <c r="G120" s="2" t="n"/>
      <c r="H120" s="6">
        <f>IF(AND(ISNUMBER($F120),$G120&lt;&gt;""),IF(AND($F120&gt;0,$G120&lt;TODAY()),TODAY()-$G120,""),"")</f>
        <v/>
      </c>
      <c r="I120" s="5" t="n"/>
      <c r="J120" s="2" t="n"/>
    </row>
    <row r="121">
      <c r="A121" s="2" t="n"/>
      <c r="B121" s="3" t="n"/>
      <c r="C121" s="3" t="n"/>
      <c r="D121" s="4" t="n"/>
      <c r="E121" s="4" t="n"/>
      <c r="F121" s="7">
        <f>IF($D121="","",$D121-$E121)</f>
        <v/>
      </c>
      <c r="G121" s="2" t="n"/>
      <c r="H121" s="6">
        <f>IF(AND(ISNUMBER($F121),$G121&lt;&gt;""),IF(AND($F121&gt;0,$G121&lt;TODAY()),TODAY()-$G121,""),"")</f>
        <v/>
      </c>
      <c r="I121" s="5" t="n"/>
      <c r="J121" s="2" t="n"/>
    </row>
    <row r="122">
      <c r="A122" s="2" t="n"/>
      <c r="B122" s="3" t="n"/>
      <c r="C122" s="3" t="n"/>
      <c r="D122" s="4" t="n"/>
      <c r="E122" s="4" t="n"/>
      <c r="F122" s="7">
        <f>IF($D122="","",$D122-$E122)</f>
        <v/>
      </c>
      <c r="G122" s="2" t="n"/>
      <c r="H122" s="6">
        <f>IF(AND(ISNUMBER($F122),$G122&lt;&gt;""),IF(AND($F122&gt;0,$G122&lt;TODAY()),TODAY()-$G122,""),"")</f>
        <v/>
      </c>
      <c r="I122" s="5" t="n"/>
      <c r="J122" s="2" t="n"/>
    </row>
    <row r="123">
      <c r="A123" s="2" t="n"/>
      <c r="B123" s="3" t="n"/>
      <c r="C123" s="3" t="n"/>
      <c r="D123" s="4" t="n"/>
      <c r="E123" s="4" t="n"/>
      <c r="F123" s="7">
        <f>IF($D123="","",$D123-$E123)</f>
        <v/>
      </c>
      <c r="G123" s="2" t="n"/>
      <c r="H123" s="6">
        <f>IF(AND(ISNUMBER($F123),$G123&lt;&gt;""),IF(AND($F123&gt;0,$G123&lt;TODAY()),TODAY()-$G123,""),"")</f>
        <v/>
      </c>
      <c r="I123" s="5" t="n"/>
      <c r="J123" s="2" t="n"/>
    </row>
    <row r="124">
      <c r="A124" s="2" t="n"/>
      <c r="B124" s="3" t="n"/>
      <c r="C124" s="3" t="n"/>
      <c r="D124" s="4" t="n"/>
      <c r="E124" s="4" t="n"/>
      <c r="F124" s="7">
        <f>IF($D124="","",$D124-$E124)</f>
        <v/>
      </c>
      <c r="G124" s="2" t="n"/>
      <c r="H124" s="6">
        <f>IF(AND(ISNUMBER($F124),$G124&lt;&gt;""),IF(AND($F124&gt;0,$G124&lt;TODAY()),TODAY()-$G124,""),"")</f>
        <v/>
      </c>
      <c r="I124" s="5" t="n"/>
      <c r="J124" s="2" t="n"/>
    </row>
    <row r="125">
      <c r="A125" s="2" t="n"/>
      <c r="B125" s="3" t="n"/>
      <c r="C125" s="3" t="n"/>
      <c r="D125" s="4" t="n"/>
      <c r="E125" s="4" t="n"/>
      <c r="F125" s="7">
        <f>IF($D125="","",$D125-$E125)</f>
        <v/>
      </c>
      <c r="G125" s="2" t="n"/>
      <c r="H125" s="6">
        <f>IF(AND(ISNUMBER($F125),$G125&lt;&gt;""),IF(AND($F125&gt;0,$G125&lt;TODAY()),TODAY()-$G125,""),"")</f>
        <v/>
      </c>
      <c r="I125" s="5" t="n"/>
      <c r="J125" s="2" t="n"/>
    </row>
    <row r="126">
      <c r="A126" s="2" t="n"/>
      <c r="B126" s="3" t="n"/>
      <c r="C126" s="3" t="n"/>
      <c r="D126" s="4" t="n"/>
      <c r="E126" s="4" t="n"/>
      <c r="F126" s="7">
        <f>IF($D126="","",$D126-$E126)</f>
        <v/>
      </c>
      <c r="G126" s="2" t="n"/>
      <c r="H126" s="6">
        <f>IF(AND(ISNUMBER($F126),$G126&lt;&gt;""),IF(AND($F126&gt;0,$G126&lt;TODAY()),TODAY()-$G126,""),"")</f>
        <v/>
      </c>
      <c r="I126" s="5" t="n"/>
      <c r="J126" s="2" t="n"/>
    </row>
    <row r="127">
      <c r="A127" s="2" t="n"/>
      <c r="B127" s="3" t="n"/>
      <c r="C127" s="3" t="n"/>
      <c r="D127" s="4" t="n"/>
      <c r="E127" s="4" t="n"/>
      <c r="F127" s="7">
        <f>IF($D127="","",$D127-$E127)</f>
        <v/>
      </c>
      <c r="G127" s="2" t="n"/>
      <c r="H127" s="6">
        <f>IF(AND(ISNUMBER($F127),$G127&lt;&gt;""),IF(AND($F127&gt;0,$G127&lt;TODAY()),TODAY()-$G127,""),"")</f>
        <v/>
      </c>
      <c r="I127" s="5" t="n"/>
      <c r="J127" s="2" t="n"/>
    </row>
    <row r="128">
      <c r="A128" s="2" t="n"/>
      <c r="B128" s="3" t="n"/>
      <c r="C128" s="3" t="n"/>
      <c r="D128" s="4" t="n"/>
      <c r="E128" s="4" t="n"/>
      <c r="F128" s="7">
        <f>IF($D128="","",$D128-$E128)</f>
        <v/>
      </c>
      <c r="G128" s="2" t="n"/>
      <c r="H128" s="6">
        <f>IF(AND(ISNUMBER($F128),$G128&lt;&gt;""),IF(AND($F128&gt;0,$G128&lt;TODAY()),TODAY()-$G128,""),"")</f>
        <v/>
      </c>
      <c r="I128" s="5" t="n"/>
      <c r="J128" s="2" t="n"/>
    </row>
    <row r="129">
      <c r="A129" s="2" t="n"/>
      <c r="B129" s="3" t="n"/>
      <c r="C129" s="3" t="n"/>
      <c r="D129" s="4" t="n"/>
      <c r="E129" s="4" t="n"/>
      <c r="F129" s="7">
        <f>IF($D129="","",$D129-$E129)</f>
        <v/>
      </c>
      <c r="G129" s="2" t="n"/>
      <c r="H129" s="6">
        <f>IF(AND(ISNUMBER($F129),$G129&lt;&gt;""),IF(AND($F129&gt;0,$G129&lt;TODAY()),TODAY()-$G129,""),"")</f>
        <v/>
      </c>
      <c r="I129" s="5" t="n"/>
      <c r="J129" s="2" t="n"/>
    </row>
    <row r="130">
      <c r="A130" s="2" t="n"/>
      <c r="B130" s="3" t="n"/>
      <c r="C130" s="3" t="n"/>
      <c r="D130" s="4" t="n"/>
      <c r="E130" s="4" t="n"/>
      <c r="F130" s="7">
        <f>IF($D130="","",$D130-$E130)</f>
        <v/>
      </c>
      <c r="G130" s="2" t="n"/>
      <c r="H130" s="6">
        <f>IF(AND(ISNUMBER($F130),$G130&lt;&gt;""),IF(AND($F130&gt;0,$G130&lt;TODAY()),TODAY()-$G130,""),"")</f>
        <v/>
      </c>
      <c r="I130" s="5" t="n"/>
      <c r="J130" s="2" t="n"/>
    </row>
    <row r="131">
      <c r="A131" s="2" t="n"/>
      <c r="B131" s="3" t="n"/>
      <c r="C131" s="3" t="n"/>
      <c r="D131" s="4" t="n"/>
      <c r="E131" s="4" t="n"/>
      <c r="F131" s="7">
        <f>IF($D131="","",$D131-$E131)</f>
        <v/>
      </c>
      <c r="G131" s="2" t="n"/>
      <c r="H131" s="6">
        <f>IF(AND(ISNUMBER($F131),$G131&lt;&gt;""),IF(AND($F131&gt;0,$G131&lt;TODAY()),TODAY()-$G131,""),"")</f>
        <v/>
      </c>
      <c r="I131" s="5" t="n"/>
      <c r="J131" s="2" t="n"/>
    </row>
    <row r="132">
      <c r="A132" s="2" t="n"/>
      <c r="B132" s="3" t="n"/>
      <c r="C132" s="3" t="n"/>
      <c r="D132" s="4" t="n"/>
      <c r="E132" s="4" t="n"/>
      <c r="F132" s="7">
        <f>IF($D132="","",$D132-$E132)</f>
        <v/>
      </c>
      <c r="G132" s="2" t="n"/>
      <c r="H132" s="6">
        <f>IF(AND(ISNUMBER($F132),$G132&lt;&gt;""),IF(AND($F132&gt;0,$G132&lt;TODAY()),TODAY()-$G132,""),"")</f>
        <v/>
      </c>
      <c r="I132" s="5" t="n"/>
      <c r="J132" s="2" t="n"/>
    </row>
    <row r="133">
      <c r="A133" s="2" t="n"/>
      <c r="B133" s="3" t="n"/>
      <c r="C133" s="3" t="n"/>
      <c r="D133" s="4" t="n"/>
      <c r="E133" s="4" t="n"/>
      <c r="F133" s="7">
        <f>IF($D133="","",$D133-$E133)</f>
        <v/>
      </c>
      <c r="G133" s="2" t="n"/>
      <c r="H133" s="6">
        <f>IF(AND(ISNUMBER($F133),$G133&lt;&gt;""),IF(AND($F133&gt;0,$G133&lt;TODAY()),TODAY()-$G133,""),"")</f>
        <v/>
      </c>
      <c r="I133" s="5" t="n"/>
      <c r="J133" s="2" t="n"/>
    </row>
    <row r="134">
      <c r="A134" s="2" t="n"/>
      <c r="B134" s="3" t="n"/>
      <c r="C134" s="3" t="n"/>
      <c r="D134" s="4" t="n"/>
      <c r="E134" s="4" t="n"/>
      <c r="F134" s="7">
        <f>IF($D134="","",$D134-$E134)</f>
        <v/>
      </c>
      <c r="G134" s="2" t="n"/>
      <c r="H134" s="6">
        <f>IF(AND(ISNUMBER($F134),$G134&lt;&gt;""),IF(AND($F134&gt;0,$G134&lt;TODAY()),TODAY()-$G134,""),"")</f>
        <v/>
      </c>
      <c r="I134" s="5" t="n"/>
      <c r="J134" s="2" t="n"/>
    </row>
    <row r="135">
      <c r="A135" s="2" t="n"/>
      <c r="B135" s="3" t="n"/>
      <c r="C135" s="3" t="n"/>
      <c r="D135" s="4" t="n"/>
      <c r="E135" s="4" t="n"/>
      <c r="F135" s="7">
        <f>IF($D135="","",$D135-$E135)</f>
        <v/>
      </c>
      <c r="G135" s="2" t="n"/>
      <c r="H135" s="6">
        <f>IF(AND(ISNUMBER($F135),$G135&lt;&gt;""),IF(AND($F135&gt;0,$G135&lt;TODAY()),TODAY()-$G135,""),"")</f>
        <v/>
      </c>
      <c r="I135" s="5" t="n"/>
      <c r="J135" s="2" t="n"/>
    </row>
    <row r="136">
      <c r="A136" s="2" t="n"/>
      <c r="B136" s="3" t="n"/>
      <c r="C136" s="3" t="n"/>
      <c r="D136" s="4" t="n"/>
      <c r="E136" s="4" t="n"/>
      <c r="F136" s="7">
        <f>IF($D136="","",$D136-$E136)</f>
        <v/>
      </c>
      <c r="G136" s="2" t="n"/>
      <c r="H136" s="6">
        <f>IF(AND(ISNUMBER($F136),$G136&lt;&gt;""),IF(AND($F136&gt;0,$G136&lt;TODAY()),TODAY()-$G136,""),"")</f>
        <v/>
      </c>
      <c r="I136" s="5" t="n"/>
      <c r="J136" s="2" t="n"/>
    </row>
    <row r="137">
      <c r="A137" s="2" t="n"/>
      <c r="B137" s="3" t="n"/>
      <c r="C137" s="3" t="n"/>
      <c r="D137" s="4" t="n"/>
      <c r="E137" s="4" t="n"/>
      <c r="F137" s="7">
        <f>IF($D137="","",$D137-$E137)</f>
        <v/>
      </c>
      <c r="G137" s="2" t="n"/>
      <c r="H137" s="6">
        <f>IF(AND(ISNUMBER($F137),$G137&lt;&gt;""),IF(AND($F137&gt;0,$G137&lt;TODAY()),TODAY()-$G137,""),"")</f>
        <v/>
      </c>
      <c r="I137" s="5" t="n"/>
      <c r="J137" s="2" t="n"/>
    </row>
    <row r="138">
      <c r="A138" s="2" t="n"/>
      <c r="B138" s="3" t="n"/>
      <c r="C138" s="3" t="n"/>
      <c r="D138" s="4" t="n"/>
      <c r="E138" s="4" t="n"/>
      <c r="F138" s="7">
        <f>IF($D138="","",$D138-$E138)</f>
        <v/>
      </c>
      <c r="G138" s="2" t="n"/>
      <c r="H138" s="6">
        <f>IF(AND(ISNUMBER($F138),$G138&lt;&gt;""),IF(AND($F138&gt;0,$G138&lt;TODAY()),TODAY()-$G138,""),"")</f>
        <v/>
      </c>
      <c r="I138" s="5" t="n"/>
      <c r="J138" s="2" t="n"/>
    </row>
    <row r="139">
      <c r="A139" s="2" t="n"/>
      <c r="B139" s="3" t="n"/>
      <c r="C139" s="3" t="n"/>
      <c r="D139" s="4" t="n"/>
      <c r="E139" s="4" t="n"/>
      <c r="F139" s="7">
        <f>IF($D139="","",$D139-$E139)</f>
        <v/>
      </c>
      <c r="G139" s="2" t="n"/>
      <c r="H139" s="6">
        <f>IF(AND(ISNUMBER($F139),$G139&lt;&gt;""),IF(AND($F139&gt;0,$G139&lt;TODAY()),TODAY()-$G139,""),"")</f>
        <v/>
      </c>
      <c r="I139" s="5" t="n"/>
      <c r="J139" s="2" t="n"/>
    </row>
    <row r="140">
      <c r="A140" s="2" t="n"/>
      <c r="B140" s="3" t="n"/>
      <c r="C140" s="3" t="n"/>
      <c r="D140" s="4" t="n"/>
      <c r="E140" s="4" t="n"/>
      <c r="F140" s="7">
        <f>IF($D140="","",$D140-$E140)</f>
        <v/>
      </c>
      <c r="G140" s="2" t="n"/>
      <c r="H140" s="6">
        <f>IF(AND(ISNUMBER($F140),$G140&lt;&gt;""),IF(AND($F140&gt;0,$G140&lt;TODAY()),TODAY()-$G140,""),"")</f>
        <v/>
      </c>
      <c r="I140" s="5" t="n"/>
      <c r="J140" s="2" t="n"/>
    </row>
    <row r="141">
      <c r="A141" s="2" t="n"/>
      <c r="B141" s="3" t="n"/>
      <c r="C141" s="3" t="n"/>
      <c r="D141" s="4" t="n"/>
      <c r="E141" s="4" t="n"/>
      <c r="F141" s="7">
        <f>IF($D141="","",$D141-$E141)</f>
        <v/>
      </c>
      <c r="G141" s="2" t="n"/>
      <c r="H141" s="6">
        <f>IF(AND(ISNUMBER($F141),$G141&lt;&gt;""),IF(AND($F141&gt;0,$G141&lt;TODAY()),TODAY()-$G141,""),"")</f>
        <v/>
      </c>
      <c r="I141" s="5" t="n"/>
      <c r="J141" s="2" t="n"/>
    </row>
    <row r="142">
      <c r="A142" s="2" t="n"/>
      <c r="B142" s="3" t="n"/>
      <c r="C142" s="3" t="n"/>
      <c r="D142" s="4" t="n"/>
      <c r="E142" s="4" t="n"/>
      <c r="F142" s="7">
        <f>IF($D142="","",$D142-$E142)</f>
        <v/>
      </c>
      <c r="G142" s="2" t="n"/>
      <c r="H142" s="6">
        <f>IF(AND(ISNUMBER($F142),$G142&lt;&gt;""),IF(AND($F142&gt;0,$G142&lt;TODAY()),TODAY()-$G142,""),"")</f>
        <v/>
      </c>
      <c r="I142" s="5" t="n"/>
      <c r="J142" s="2" t="n"/>
    </row>
    <row r="143">
      <c r="A143" s="2" t="n"/>
      <c r="B143" s="3" t="n"/>
      <c r="C143" s="3" t="n"/>
      <c r="D143" s="4" t="n"/>
      <c r="E143" s="4" t="n"/>
      <c r="F143" s="7">
        <f>IF($D143="","",$D143-$E143)</f>
        <v/>
      </c>
      <c r="G143" s="2" t="n"/>
      <c r="H143" s="6">
        <f>IF(AND(ISNUMBER($F143),$G143&lt;&gt;""),IF(AND($F143&gt;0,$G143&lt;TODAY()),TODAY()-$G143,""),"")</f>
        <v/>
      </c>
      <c r="I143" s="5" t="n"/>
      <c r="J143" s="2" t="n"/>
    </row>
    <row r="144">
      <c r="A144" s="2" t="n"/>
      <c r="B144" s="3" t="n"/>
      <c r="C144" s="3" t="n"/>
      <c r="D144" s="4" t="n"/>
      <c r="E144" s="4" t="n"/>
      <c r="F144" s="7">
        <f>IF($D144="","",$D144-$E144)</f>
        <v/>
      </c>
      <c r="G144" s="2" t="n"/>
      <c r="H144" s="6">
        <f>IF(AND(ISNUMBER($F144),$G144&lt;&gt;""),IF(AND($F144&gt;0,$G144&lt;TODAY()),TODAY()-$G144,""),"")</f>
        <v/>
      </c>
      <c r="I144" s="5" t="n"/>
      <c r="J144" s="2" t="n"/>
    </row>
    <row r="145">
      <c r="A145" s="2" t="n"/>
      <c r="B145" s="3" t="n"/>
      <c r="C145" s="3" t="n"/>
      <c r="D145" s="4" t="n"/>
      <c r="E145" s="4" t="n"/>
      <c r="F145" s="7">
        <f>IF($D145="","",$D145-$E145)</f>
        <v/>
      </c>
      <c r="G145" s="2" t="n"/>
      <c r="H145" s="6">
        <f>IF(AND(ISNUMBER($F145),$G145&lt;&gt;""),IF(AND($F145&gt;0,$G145&lt;TODAY()),TODAY()-$G145,""),"")</f>
        <v/>
      </c>
      <c r="I145" s="5" t="n"/>
      <c r="J145" s="2" t="n"/>
    </row>
    <row r="146">
      <c r="A146" s="2" t="n"/>
      <c r="B146" s="3" t="n"/>
      <c r="C146" s="3" t="n"/>
      <c r="D146" s="4" t="n"/>
      <c r="E146" s="4" t="n"/>
      <c r="F146" s="7">
        <f>IF($D146="","",$D146-$E146)</f>
        <v/>
      </c>
      <c r="G146" s="2" t="n"/>
      <c r="H146" s="6">
        <f>IF(AND(ISNUMBER($F146),$G146&lt;&gt;""),IF(AND($F146&gt;0,$G146&lt;TODAY()),TODAY()-$G146,""),"")</f>
        <v/>
      </c>
      <c r="I146" s="5" t="n"/>
      <c r="J146" s="2" t="n"/>
    </row>
    <row r="147">
      <c r="A147" s="2" t="n"/>
      <c r="B147" s="3" t="n"/>
      <c r="C147" s="3" t="n"/>
      <c r="D147" s="4" t="n"/>
      <c r="E147" s="4" t="n"/>
      <c r="F147" s="7">
        <f>IF($D147="","",$D147-$E147)</f>
        <v/>
      </c>
      <c r="G147" s="2" t="n"/>
      <c r="H147" s="6">
        <f>IF(AND(ISNUMBER($F147),$G147&lt;&gt;""),IF(AND($F147&gt;0,$G147&lt;TODAY()),TODAY()-$G147,""),"")</f>
        <v/>
      </c>
      <c r="I147" s="5" t="n"/>
      <c r="J147" s="2" t="n"/>
    </row>
    <row r="148">
      <c r="A148" s="2" t="n"/>
      <c r="B148" s="3" t="n"/>
      <c r="C148" s="3" t="n"/>
      <c r="D148" s="4" t="n"/>
      <c r="E148" s="4" t="n"/>
      <c r="F148" s="7">
        <f>IF($D148="","",$D148-$E148)</f>
        <v/>
      </c>
      <c r="G148" s="2" t="n"/>
      <c r="H148" s="6">
        <f>IF(AND(ISNUMBER($F148),$G148&lt;&gt;""),IF(AND($F148&gt;0,$G148&lt;TODAY()),TODAY()-$G148,""),"")</f>
        <v/>
      </c>
      <c r="I148" s="5" t="n"/>
      <c r="J148" s="2" t="n"/>
    </row>
    <row r="149">
      <c r="A149" s="2" t="n"/>
      <c r="B149" s="3" t="n"/>
      <c r="C149" s="3" t="n"/>
      <c r="D149" s="4" t="n"/>
      <c r="E149" s="4" t="n"/>
      <c r="F149" s="7">
        <f>IF($D149="","",$D149-$E149)</f>
        <v/>
      </c>
      <c r="G149" s="2" t="n"/>
      <c r="H149" s="6">
        <f>IF(AND(ISNUMBER($F149),$G149&lt;&gt;""),IF(AND($F149&gt;0,$G149&lt;TODAY()),TODAY()-$G149,""),"")</f>
        <v/>
      </c>
      <c r="I149" s="5" t="n"/>
      <c r="J149" s="2" t="n"/>
    </row>
    <row r="150">
      <c r="A150" s="2" t="n"/>
      <c r="B150" s="3" t="n"/>
      <c r="C150" s="3" t="n"/>
      <c r="D150" s="4" t="n"/>
      <c r="E150" s="4" t="n"/>
      <c r="F150" s="7">
        <f>IF($D150="","",$D150-$E150)</f>
        <v/>
      </c>
      <c r="G150" s="2" t="n"/>
      <c r="H150" s="6">
        <f>IF(AND(ISNUMBER($F150),$G150&lt;&gt;""),IF(AND($F150&gt;0,$G150&lt;TODAY()),TODAY()-$G150,""),"")</f>
        <v/>
      </c>
      <c r="I150" s="5" t="n"/>
      <c r="J150" s="2" t="n"/>
    </row>
    <row r="151">
      <c r="A151" s="2" t="n"/>
      <c r="B151" s="3" t="n"/>
      <c r="C151" s="3" t="n"/>
      <c r="D151" s="4" t="n"/>
      <c r="E151" s="4" t="n"/>
      <c r="F151" s="7">
        <f>IF($D151="","",$D151-$E151)</f>
        <v/>
      </c>
      <c r="G151" s="2" t="n"/>
      <c r="H151" s="6">
        <f>IF(AND(ISNUMBER($F151),$G151&lt;&gt;""),IF(AND($F151&gt;0,$G151&lt;TODAY()),TODAY()-$G151,""),"")</f>
        <v/>
      </c>
      <c r="I151" s="5" t="n"/>
      <c r="J151" s="2" t="n"/>
    </row>
  </sheetData>
  <conditionalFormatting sqref="H2:H151">
    <cfRule type="expression" priority="1" dxfId="2">
      <formula>AND(ISNUMBER($H2),$H2&gt;30)</formula>
    </cfRule>
    <cfRule type="expression" priority="2" dxfId="0">
      <formula>AND(ISNUMBER($H2),$H2&gt;0)</formula>
    </cfRule>
  </conditionalFormatting>
  <conditionalFormatting sqref="D2:E151">
    <cfRule type="expression" priority="3" dxfId="2">
      <formula>AND(D2&lt;&gt;"",NOT(ISNUMBER(D2)))</formula>
    </cfRule>
  </conditionalFormatting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8" t="inlineStr">
        <is>
          <t>Le point en un coup d'œil</t>
        </is>
      </c>
    </row>
    <row r="3">
      <c r="A3" s="3" t="inlineStr">
        <is>
          <t>Devis en attente de réponse</t>
        </is>
      </c>
      <c r="B3" s="9">
        <f>COUNTIF(Devis!$F$2:$F$151,"Envoyé")</f>
        <v/>
      </c>
    </row>
    <row r="4">
      <c r="A4" s="3" t="inlineStr">
        <is>
          <t>Montant de ces devis, en FCFA</t>
        </is>
      </c>
      <c r="B4" s="10">
        <f>SUMIF(Devis!$F$2:$F$151,"Envoyé",Devis!$E$2:$E$151)</f>
        <v/>
      </c>
    </row>
    <row r="5">
      <c r="A5" s="3" t="inlineStr">
        <is>
          <t>Devis acceptés</t>
        </is>
      </c>
      <c r="B5" s="9">
        <f>COUNTIF(Devis!$F$2:$F$151,"Accepté")</f>
        <v/>
      </c>
    </row>
    <row r="6">
      <c r="A6" s="3" t="inlineStr">
        <is>
          <t>Montant des devis acceptés, en FCFA</t>
        </is>
      </c>
      <c r="B6" s="10">
        <f>SUMIF(Devis!$F$2:$F$151,"Accepté",Devis!$E$2:$E$151)</f>
        <v/>
      </c>
    </row>
    <row r="7">
      <c r="A7" s="3" t="inlineStr">
        <is>
          <t>Factures en retard</t>
        </is>
      </c>
      <c r="B7" s="9">
        <f>COUNTIF(Factures!$H$2:$H$151,"&gt;0")</f>
        <v/>
      </c>
    </row>
    <row r="8" ht="32" customHeight="1">
      <c r="A8" s="3" t="inlineStr">
        <is>
          <t>Reste à encaisser sur les factures en retard, en FCFA</t>
        </is>
      </c>
      <c r="B8" s="10">
        <f>SUMIF(Factures!$H$2:$H$151,"&gt;0",Factures!$F$2:$F$151)</f>
        <v/>
      </c>
    </row>
    <row r="9">
      <c r="A9" s="3" t="inlineStr">
        <is>
          <t>Dont en retard de plus de 30 jours, en FCFA</t>
        </is>
      </c>
      <c r="B9" s="10">
        <f>SUMIF(Factures!$H$2:$H$151,"&gt;30",Factures!$F$2:$F$151)</f>
        <v/>
      </c>
    </row>
    <row r="10">
      <c r="A10" s="3" t="inlineStr">
        <is>
          <t>Reste à encaisser, toutes factures, en FCFA</t>
        </is>
      </c>
      <c r="B10" s="10">
        <f>SUM(Factures!$F$2:$F$151)</f>
        <v/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3" customWidth="1" min="4" max="4"/>
    <col width="13" customWidth="1" min="5" max="5"/>
    <col width="13" customWidth="1" min="6" max="6"/>
    <col width="12" customWidth="1" min="7" max="7"/>
    <col width="11" customWidth="1" min="8" max="8"/>
    <col width="10" customWidth="1" min="9" max="9"/>
    <col width="13" customWidth="1" min="10" max="10"/>
  </cols>
  <sheetData>
    <row r="1" ht="16" customHeight="1">
      <c r="A1" s="8" t="inlineStr">
        <is>
          <t>Suivi des devis et des factures : mode d'emploi</t>
        </is>
      </c>
    </row>
    <row r="2" ht="16" customHeight="1"/>
    <row r="3" ht="16" customHeight="1">
      <c r="A3" s="11" t="inlineStr">
        <is>
          <t>COMMENT REMPLIR :</t>
        </is>
      </c>
    </row>
    <row r="4" ht="16" customHeight="1">
      <c r="A4" s="12" t="inlineStr">
        <is>
          <t>1. Écrivez seulement dans les cases blanches. Les colonnes grises se calculent seules : n'y touchez pas.</t>
        </is>
      </c>
    </row>
    <row r="5" ht="16" customHeight="1">
      <c r="A5" s="12" t="inlineStr">
        <is>
          <t>2. Montants en chiffres, sans le mot FCFA. Dates sous la forme 05/10/2026.</t>
        </is>
      </c>
    </row>
    <row r="6" ht="16" customHeight="1">
      <c r="A6" s="12" t="inlineStr">
        <is>
          <t>3. Client : un code, un prénom ou une initiale. Jamais le numéro de téléphone.</t>
        </is>
      </c>
    </row>
    <row r="7" ht="16" customHeight="1">
      <c r="A7" s="12" t="inlineStr"/>
    </row>
    <row r="8" ht="16" customHeight="1">
      <c r="A8" s="11" t="inlineStr">
        <is>
          <t>L'ONGLET DEVIS :</t>
        </is>
      </c>
    </row>
    <row r="9" ht="32" customHeight="1">
      <c r="A9" s="12" t="inlineStr">
        <is>
          <t>Une ligne par devis envoyé. Statut : choisissez Envoyé, puis Accepté ou Refusé. Tant que le statut est « Envoyé », le nombre de jours depuis l'envoi s'affiche.</t>
        </is>
      </c>
    </row>
    <row r="10" ht="16" customHeight="1">
      <c r="A10" s="12" t="inlineStr">
        <is>
          <t>Relances : le nombre de relances déjà faites pour ce devis : 0, 1, 2.</t>
        </is>
      </c>
    </row>
    <row r="11" ht="16" customHeight="1">
      <c r="A11" s="12" t="inlineStr"/>
    </row>
    <row r="12" ht="16" customHeight="1">
      <c r="A12" s="11" t="inlineStr">
        <is>
          <t>L'ONGLET FACTURES :</t>
        </is>
      </c>
    </row>
    <row r="13" ht="16" customHeight="1">
      <c r="A13" s="12" t="inlineStr">
        <is>
          <t>Une ligne par facture. Déjà payé : l'acompte reçu, puis chaque paiement qui s'ajoute. Le reste à payer se calcule seul.</t>
        </is>
      </c>
    </row>
    <row r="14" ht="32" customHeight="1">
      <c r="A14" s="12" t="inlineStr">
        <is>
          <t>Échéance : la date à laquelle la facture doit être payée. Si elle est dépassée et qu'il reste à payer, le nombre de jours de retard s'affiche, en orange puis en rouge au-delà de 30 jours.</t>
        </is>
      </c>
    </row>
    <row r="15" ht="16" customHeight="1">
      <c r="A15" s="12" t="inlineStr">
        <is>
          <t>Date promise : la date à laquelle le client a dit qu'il paierait.</t>
        </is>
      </c>
    </row>
    <row r="16" ht="16" customHeight="1">
      <c r="A16" s="12" t="inlineStr"/>
    </row>
    <row r="17" ht="16" customHeight="1">
      <c r="A17" s="11" t="inlineStr">
        <is>
          <t>L'ONGLET RÉSUMÉ :</t>
        </is>
      </c>
    </row>
    <row r="18" ht="16" customHeight="1">
      <c r="A18" s="12" t="inlineStr">
        <is>
          <t>Il donne seul les devis en attente, les factures en retard et le total qui reste à encaisser.</t>
        </is>
      </c>
    </row>
    <row r="19" ht="16" customHeight="1">
      <c r="A19" s="12" t="inlineStr"/>
    </row>
    <row r="20" ht="16" customHeight="1">
      <c r="A20" s="11" t="inlineStr">
        <is>
          <t>LE POINT DU VENDREDI :</t>
        </is>
      </c>
    </row>
    <row r="21" ht="32" customHeight="1">
      <c r="A21" s="12" t="inlineStr">
        <is>
          <t>Copiez les factures en retard (code, montant, déjà payé, jours de retard, relances) et collez-les dans votre IA. Ne copiez ni nom ni numéro.</t>
        </is>
      </c>
    </row>
    <row r="22" ht="16" customHeight="1">
      <c r="A22" s="12" t="inlineStr"/>
    </row>
    <row r="23" ht="16" customHeight="1">
      <c r="A23" s="11" t="inlineStr">
        <is>
          <t>À SAVOIR :</t>
        </is>
      </c>
    </row>
    <row r="24" ht="32" customHeight="1">
      <c r="A24" s="12" t="inlineStr">
        <is>
          <t>Ce tableau n'est pas une comptabilité et ne remplace pas une facture normalisée. Pour une facture officielle, adressez-vous à votre comptable.</t>
        </is>
      </c>
    </row>
    <row r="25" ht="16" customHeight="1">
      <c r="A25" s="12" t="inlineStr"/>
    </row>
    <row r="26" ht="16" customHeight="1">
      <c r="A26" s="11" t="inlineStr">
        <is>
          <t>EXEMPLE de l'onglet Factures (ne modifiez pas cet exemple, il sert seulement de modèle) :</t>
        </is>
      </c>
    </row>
    <row r="27" ht="46" customHeight="1">
      <c r="A27" s="1" t="inlineStr">
        <is>
          <t>Date</t>
        </is>
      </c>
      <c r="B27" s="1" t="inlineStr">
        <is>
          <t>Code</t>
        </is>
      </c>
      <c r="C27" s="1" t="inlineStr">
        <is>
          <t>Client</t>
        </is>
      </c>
      <c r="D27" s="1" t="inlineStr">
        <is>
          <t>Montant</t>
        </is>
      </c>
      <c r="E27" s="1" t="inlineStr">
        <is>
          <t>Déjà payé</t>
        </is>
      </c>
      <c r="F27" s="1" t="inlineStr">
        <is>
          <t>Reste à payer</t>
        </is>
      </c>
      <c r="G27" s="1" t="inlineStr">
        <is>
          <t>Échéance</t>
        </is>
      </c>
      <c r="H27" s="1" t="inlineStr">
        <is>
          <t>Jours de retard</t>
        </is>
      </c>
      <c r="I27" s="1" t="inlineStr">
        <is>
          <t>Relances</t>
        </is>
      </c>
      <c r="J27" s="1" t="inlineStr">
        <is>
          <t>Date promise</t>
        </is>
      </c>
    </row>
    <row r="28">
      <c r="A28" s="13" t="n">
        <v>46250</v>
      </c>
      <c r="B28" s="14" t="inlineStr">
        <is>
          <t>F-101</t>
        </is>
      </c>
      <c r="C28" s="14" t="inlineStr">
        <is>
          <t>A.</t>
        </is>
      </c>
      <c r="D28" s="15" t="n">
        <v>380000</v>
      </c>
      <c r="E28" s="15" t="n">
        <v>100000</v>
      </c>
      <c r="F28" s="16">
        <f>D28-E28</f>
        <v/>
      </c>
      <c r="G28" s="13" t="n">
        <v>46265</v>
      </c>
      <c r="H28" s="17" t="n">
        <v>35</v>
      </c>
      <c r="I28" s="14" t="n">
        <v>2</v>
      </c>
      <c r="J28" s="13" t="n"/>
    </row>
    <row r="29">
      <c r="A29" s="13" t="n">
        <v>46273</v>
      </c>
      <c r="B29" s="14" t="inlineStr">
        <is>
          <t>F-102</t>
        </is>
      </c>
      <c r="C29" s="14" t="inlineStr">
        <is>
          <t>B.</t>
        </is>
      </c>
      <c r="D29" s="15" t="n">
        <v>190000</v>
      </c>
      <c r="E29" s="15" t="n">
        <v>0</v>
      </c>
      <c r="F29" s="16">
        <f>D29-E29</f>
        <v/>
      </c>
      <c r="G29" s="13" t="n">
        <v>46288</v>
      </c>
      <c r="H29" s="17" t="n">
        <v>12</v>
      </c>
      <c r="I29" s="14" t="n">
        <v>1</v>
      </c>
      <c r="J29" s="13" t="n"/>
    </row>
    <row r="30">
      <c r="A30" s="13" t="n">
        <v>46280</v>
      </c>
      <c r="B30" s="14" t="inlineStr">
        <is>
          <t>F-103</t>
        </is>
      </c>
      <c r="C30" s="14" t="inlineStr">
        <is>
          <t>C.</t>
        </is>
      </c>
      <c r="D30" s="15" t="n">
        <v>79500</v>
      </c>
      <c r="E30" s="15" t="n">
        <v>0</v>
      </c>
      <c r="F30" s="16">
        <f>D30-E30</f>
        <v/>
      </c>
      <c r="G30" s="13" t="n">
        <v>46295</v>
      </c>
      <c r="H30" s="17" t="n">
        <v>5</v>
      </c>
      <c r="I30" s="14" t="n">
        <v>0</v>
      </c>
      <c r="J30" s="13" t="n"/>
    </row>
    <row r="31">
      <c r="A31" s="18" t="inlineStr">
        <is>
          <t>Reste à encaisser sur les factures en retard</t>
        </is>
      </c>
      <c r="B31" s="21" t="n"/>
      <c r="C31" s="21" t="n"/>
      <c r="D31" s="21" t="n"/>
      <c r="E31" s="22" t="n"/>
      <c r="F31" s="10">
        <f>SUM(F28:F30)</f>
        <v/>
      </c>
    </row>
    <row r="33" ht="32" customHeight="1">
      <c r="A33" s="12" t="inlineStr">
        <is>
          <t>Dans cet exemple, lu le 5 octobre 2026 : les trois factures sont en retard de 35, 12 et 5 jours. Il reste 549 500 FCFA à encaisser : 280 000 + 190 000 + 79 500.</t>
        </is>
      </c>
    </row>
    <row r="35">
      <c r="A35" s="20" t="inlineStr">
        <is>
          <t>Document du kit « Vente / Commercial » d'AI WORK KIT.</t>
        </is>
      </c>
    </row>
  </sheetData>
  <mergeCells count="29">
    <mergeCell ref="A5:J5"/>
    <mergeCell ref="A23:J23"/>
    <mergeCell ref="A8:J8"/>
    <mergeCell ref="A14:J14"/>
    <mergeCell ref="A22:J22"/>
    <mergeCell ref="A17:J17"/>
    <mergeCell ref="A35:J35"/>
    <mergeCell ref="A4:J4"/>
    <mergeCell ref="A20:J20"/>
    <mergeCell ref="A10:J10"/>
    <mergeCell ref="A19:J19"/>
    <mergeCell ref="A13:J13"/>
    <mergeCell ref="A9:J9"/>
    <mergeCell ref="A15:J15"/>
    <mergeCell ref="A24:J24"/>
    <mergeCell ref="A11:J11"/>
    <mergeCell ref="A1:J1"/>
    <mergeCell ref="A6:J6"/>
    <mergeCell ref="A7:J7"/>
    <mergeCell ref="A16:J16"/>
    <mergeCell ref="A25:J25"/>
    <mergeCell ref="A18:J18"/>
    <mergeCell ref="A3:J3"/>
    <mergeCell ref="A21:J21"/>
    <mergeCell ref="A12:J12"/>
    <mergeCell ref="A26:J26"/>
    <mergeCell ref="A2:J2"/>
    <mergeCell ref="A31:E31"/>
    <mergeCell ref="A33:J3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2026-10-04T10:11:04Z</dcterms:created>
  <dcterms:modified xmlns:dcterms="http://purl.org/dc/terms/" xmlns:xsi="http://www.w3.org/2001/XMLSchema-instance" xsi:type="dcterms:W3CDTF">2026-10-04T10:11:04Z</dcterms:modified>
</cp:coreProperties>
</file>