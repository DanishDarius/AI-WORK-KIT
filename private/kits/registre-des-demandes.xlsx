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e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165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  <dxf>
      <fill>
        <patternFill patternType="solid">
          <fgColor rgb="00D5EDE4"/>
          <bgColor rgb="00D5E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15" customWidth="1" min="4" max="4"/>
    <col width="15" customWidth="1" min="5" max="5"/>
    <col width="32" customWidth="1" min="6" max="6"/>
    <col width="9" customWidth="1" min="7" max="7"/>
    <col width="14" customWidth="1" min="8" max="8"/>
    <col width="10" customWidth="1" min="9" max="9"/>
    <col width="12" customWidth="1" min="10" max="10"/>
    <col width="8" customWidth="1" min="11" max="11"/>
  </cols>
  <sheetData>
    <row r="1" ht="46" customHeight="1">
      <c r="A1" s="1" t="inlineStr">
        <is>
          <t>N°</t>
        </is>
      </c>
      <c r="B1" s="1" t="inlineStr">
        <is>
          <t>Reçue le</t>
        </is>
      </c>
      <c r="C1" s="1" t="inlineStr">
        <is>
          <t>Canal</t>
        </is>
      </c>
      <c r="D1" s="1" t="inlineStr">
        <is>
          <t>Repère du client</t>
        </is>
      </c>
      <c r="E1" s="1" t="inlineStr">
        <is>
          <t>Sujet</t>
        </is>
      </c>
      <c r="F1" s="1" t="inlineStr">
        <is>
          <t>La demande, en quelques mots</t>
        </is>
      </c>
      <c r="G1" s="1" t="inlineStr">
        <is>
          <t>Urgence</t>
        </is>
      </c>
      <c r="H1" s="1" t="inlineStr">
        <is>
          <t>Confiée à</t>
        </is>
      </c>
      <c r="I1" s="1" t="inlineStr">
        <is>
          <t>État</t>
        </is>
      </c>
      <c r="J1" s="1" t="inlineStr">
        <is>
          <t>Résolue le</t>
        </is>
      </c>
      <c r="K1" s="1" t="inlineStr">
        <is>
          <t>Jours</t>
        </is>
      </c>
    </row>
    <row r="2">
      <c r="A2" s="2" t="n"/>
      <c r="B2" s="3" t="n"/>
      <c r="C2" s="2" t="n"/>
      <c r="D2" s="2" t="n"/>
      <c r="E2" s="2" t="n"/>
      <c r="F2" s="2" t="n"/>
      <c r="G2" s="2" t="n"/>
      <c r="H2" s="2" t="n"/>
      <c r="I2" s="2" t="n"/>
      <c r="J2" s="3" t="n"/>
      <c r="K2" s="4">
        <f>IF($B2="","",IF($J2&lt;&gt;"",$J2-$B2,TODAY()-$B2))</f>
        <v/>
      </c>
    </row>
    <row r="3">
      <c r="A3" s="2" t="n"/>
      <c r="B3" s="3" t="n"/>
      <c r="C3" s="2" t="n"/>
      <c r="D3" s="2" t="n"/>
      <c r="E3" s="2" t="n"/>
      <c r="F3" s="2" t="n"/>
      <c r="G3" s="2" t="n"/>
      <c r="H3" s="2" t="n"/>
      <c r="I3" s="2" t="n"/>
      <c r="J3" s="3" t="n"/>
      <c r="K3" s="4">
        <f>IF($B3="","",IF($J3&lt;&gt;"",$J3-$B3,TODAY()-$B3))</f>
        <v/>
      </c>
    </row>
    <row r="4">
      <c r="A4" s="2" t="n"/>
      <c r="B4" s="3" t="n"/>
      <c r="C4" s="2" t="n"/>
      <c r="D4" s="2" t="n"/>
      <c r="E4" s="2" t="n"/>
      <c r="F4" s="2" t="n"/>
      <c r="G4" s="2" t="n"/>
      <c r="H4" s="2" t="n"/>
      <c r="I4" s="2" t="n"/>
      <c r="J4" s="3" t="n"/>
      <c r="K4" s="4">
        <f>IF($B4="","",IF($J4&lt;&gt;"",$J4-$B4,TODAY()-$B4))</f>
        <v/>
      </c>
    </row>
    <row r="5">
      <c r="A5" s="2" t="n"/>
      <c r="B5" s="3" t="n"/>
      <c r="C5" s="2" t="n"/>
      <c r="D5" s="2" t="n"/>
      <c r="E5" s="2" t="n"/>
      <c r="F5" s="2" t="n"/>
      <c r="G5" s="2" t="n"/>
      <c r="H5" s="2" t="n"/>
      <c r="I5" s="2" t="n"/>
      <c r="J5" s="3" t="n"/>
      <c r="K5" s="4">
        <f>IF($B5="","",IF($J5&lt;&gt;"",$J5-$B5,TODAY()-$B5))</f>
        <v/>
      </c>
    </row>
    <row r="6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3" t="n"/>
      <c r="K6" s="4">
        <f>IF($B6="","",IF($J6&lt;&gt;"",$J6-$B6,TODAY()-$B6))</f>
        <v/>
      </c>
    </row>
    <row r="7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3" t="n"/>
      <c r="K7" s="4">
        <f>IF($B7="","",IF($J7&lt;&gt;"",$J7-$B7,TODAY()-$B7))</f>
        <v/>
      </c>
    </row>
    <row r="8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3" t="n"/>
      <c r="K8" s="4">
        <f>IF($B8="","",IF($J8&lt;&gt;"",$J8-$B8,TODAY()-$B8))</f>
        <v/>
      </c>
    </row>
    <row r="9">
      <c r="A9" s="2" t="n"/>
      <c r="B9" s="3" t="n"/>
      <c r="C9" s="2" t="n"/>
      <c r="D9" s="2" t="n"/>
      <c r="E9" s="2" t="n"/>
      <c r="F9" s="2" t="n"/>
      <c r="G9" s="2" t="n"/>
      <c r="H9" s="2" t="n"/>
      <c r="I9" s="2" t="n"/>
      <c r="J9" s="3" t="n"/>
      <c r="K9" s="4">
        <f>IF($B9="","",IF($J9&lt;&gt;"",$J9-$B9,TODAY()-$B9))</f>
        <v/>
      </c>
    </row>
    <row r="10">
      <c r="A10" s="2" t="n"/>
      <c r="B10" s="3" t="n"/>
      <c r="C10" s="2" t="n"/>
      <c r="D10" s="2" t="n"/>
      <c r="E10" s="2" t="n"/>
      <c r="F10" s="2" t="n"/>
      <c r="G10" s="2" t="n"/>
      <c r="H10" s="2" t="n"/>
      <c r="I10" s="2" t="n"/>
      <c r="J10" s="3" t="n"/>
      <c r="K10" s="4">
        <f>IF($B10="","",IF($J10&lt;&gt;"",$J10-$B10,TODAY()-$B10))</f>
        <v/>
      </c>
    </row>
    <row r="11">
      <c r="A11" s="2" t="n"/>
      <c r="B11" s="3" t="n"/>
      <c r="C11" s="2" t="n"/>
      <c r="D11" s="2" t="n"/>
      <c r="E11" s="2" t="n"/>
      <c r="F11" s="2" t="n"/>
      <c r="G11" s="2" t="n"/>
      <c r="H11" s="2" t="n"/>
      <c r="I11" s="2" t="n"/>
      <c r="J11" s="3" t="n"/>
      <c r="K11" s="4">
        <f>IF($B11="","",IF($J11&lt;&gt;"",$J11-$B11,TODAY()-$B11))</f>
        <v/>
      </c>
    </row>
    <row r="12">
      <c r="A12" s="2" t="n"/>
      <c r="B12" s="3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>
        <f>IF($B12="","",IF($J12&lt;&gt;"",$J12-$B12,TODAY()-$B12))</f>
        <v/>
      </c>
    </row>
    <row r="13">
      <c r="A13" s="2" t="n"/>
      <c r="B13" s="3" t="n"/>
      <c r="C13" s="2" t="n"/>
      <c r="D13" s="2" t="n"/>
      <c r="E13" s="2" t="n"/>
      <c r="F13" s="2" t="n"/>
      <c r="G13" s="2" t="n"/>
      <c r="H13" s="2" t="n"/>
      <c r="I13" s="2" t="n"/>
      <c r="J13" s="3" t="n"/>
      <c r="K13" s="4">
        <f>IF($B13="","",IF($J13&lt;&gt;"",$J13-$B13,TODAY()-$B13))</f>
        <v/>
      </c>
    </row>
    <row r="14">
      <c r="A14" s="2" t="n"/>
      <c r="B14" s="3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>
        <f>IF($B14="","",IF($J14&lt;&gt;"",$J14-$B14,TODAY()-$B14))</f>
        <v/>
      </c>
    </row>
    <row r="15">
      <c r="A15" s="2" t="n"/>
      <c r="B15" s="3" t="n"/>
      <c r="C15" s="2" t="n"/>
      <c r="D15" s="2" t="n"/>
      <c r="E15" s="2" t="n"/>
      <c r="F15" s="2" t="n"/>
      <c r="G15" s="2" t="n"/>
      <c r="H15" s="2" t="n"/>
      <c r="I15" s="2" t="n"/>
      <c r="J15" s="3" t="n"/>
      <c r="K15" s="4">
        <f>IF($B15="","",IF($J15&lt;&gt;"",$J15-$B15,TODAY()-$B15))</f>
        <v/>
      </c>
    </row>
    <row r="16">
      <c r="A16" s="2" t="n"/>
      <c r="B16" s="3" t="n"/>
      <c r="C16" s="2" t="n"/>
      <c r="D16" s="2" t="n"/>
      <c r="E16" s="2" t="n"/>
      <c r="F16" s="2" t="n"/>
      <c r="G16" s="2" t="n"/>
      <c r="H16" s="2" t="n"/>
      <c r="I16" s="2" t="n"/>
      <c r="J16" s="3" t="n"/>
      <c r="K16" s="4">
        <f>IF($B16="","",IF($J16&lt;&gt;"",$J16-$B16,TODAY()-$B16))</f>
        <v/>
      </c>
    </row>
    <row r="17">
      <c r="A17" s="2" t="n"/>
      <c r="B17" s="3" t="n"/>
      <c r="C17" s="2" t="n"/>
      <c r="D17" s="2" t="n"/>
      <c r="E17" s="2" t="n"/>
      <c r="F17" s="2" t="n"/>
      <c r="G17" s="2" t="n"/>
      <c r="H17" s="2" t="n"/>
      <c r="I17" s="2" t="n"/>
      <c r="J17" s="3" t="n"/>
      <c r="K17" s="4">
        <f>IF($B17="","",IF($J17&lt;&gt;"",$J17-$B17,TODAY()-$B17))</f>
        <v/>
      </c>
    </row>
    <row r="18">
      <c r="A18" s="2" t="n"/>
      <c r="B18" s="3" t="n"/>
      <c r="C18" s="2" t="n"/>
      <c r="D18" s="2" t="n"/>
      <c r="E18" s="2" t="n"/>
      <c r="F18" s="2" t="n"/>
      <c r="G18" s="2" t="n"/>
      <c r="H18" s="2" t="n"/>
      <c r="I18" s="2" t="n"/>
      <c r="J18" s="3" t="n"/>
      <c r="K18" s="4">
        <f>IF($B18="","",IF($J18&lt;&gt;"",$J18-$B18,TODAY()-$B18))</f>
        <v/>
      </c>
    </row>
    <row r="19">
      <c r="A19" s="2" t="n"/>
      <c r="B19" s="3" t="n"/>
      <c r="C19" s="2" t="n"/>
      <c r="D19" s="2" t="n"/>
      <c r="E19" s="2" t="n"/>
      <c r="F19" s="2" t="n"/>
      <c r="G19" s="2" t="n"/>
      <c r="H19" s="2" t="n"/>
      <c r="I19" s="2" t="n"/>
      <c r="J19" s="3" t="n"/>
      <c r="K19" s="4">
        <f>IF($B19="","",IF($J19&lt;&gt;"",$J19-$B19,TODAY()-$B19))</f>
        <v/>
      </c>
    </row>
    <row r="20">
      <c r="A20" s="2" t="n"/>
      <c r="B20" s="3" t="n"/>
      <c r="C20" s="2" t="n"/>
      <c r="D20" s="2" t="n"/>
      <c r="E20" s="2" t="n"/>
      <c r="F20" s="2" t="n"/>
      <c r="G20" s="2" t="n"/>
      <c r="H20" s="2" t="n"/>
      <c r="I20" s="2" t="n"/>
      <c r="J20" s="3" t="n"/>
      <c r="K20" s="4">
        <f>IF($B20="","",IF($J20&lt;&gt;"",$J20-$B20,TODAY()-$B20))</f>
        <v/>
      </c>
    </row>
    <row r="21">
      <c r="A21" s="2" t="n"/>
      <c r="B21" s="3" t="n"/>
      <c r="C21" s="2" t="n"/>
      <c r="D21" s="2" t="n"/>
      <c r="E21" s="2" t="n"/>
      <c r="F21" s="2" t="n"/>
      <c r="G21" s="2" t="n"/>
      <c r="H21" s="2" t="n"/>
      <c r="I21" s="2" t="n"/>
      <c r="J21" s="3" t="n"/>
      <c r="K21" s="4">
        <f>IF($B21="","",IF($J21&lt;&gt;"",$J21-$B21,TODAY()-$B21))</f>
        <v/>
      </c>
    </row>
    <row r="22">
      <c r="A22" s="2" t="n"/>
      <c r="B22" s="3" t="n"/>
      <c r="C22" s="2" t="n"/>
      <c r="D22" s="2" t="n"/>
      <c r="E22" s="2" t="n"/>
      <c r="F22" s="2" t="n"/>
      <c r="G22" s="2" t="n"/>
      <c r="H22" s="2" t="n"/>
      <c r="I22" s="2" t="n"/>
      <c r="J22" s="3" t="n"/>
      <c r="K22" s="4">
        <f>IF($B22="","",IF($J22&lt;&gt;"",$J22-$B22,TODAY()-$B22))</f>
        <v/>
      </c>
    </row>
    <row r="23">
      <c r="A23" s="2" t="n"/>
      <c r="B23" s="3" t="n"/>
      <c r="C23" s="2" t="n"/>
      <c r="D23" s="2" t="n"/>
      <c r="E23" s="2" t="n"/>
      <c r="F23" s="2" t="n"/>
      <c r="G23" s="2" t="n"/>
      <c r="H23" s="2" t="n"/>
      <c r="I23" s="2" t="n"/>
      <c r="J23" s="3" t="n"/>
      <c r="K23" s="4">
        <f>IF($B23="","",IF($J23&lt;&gt;"",$J23-$B23,TODAY()-$B23))</f>
        <v/>
      </c>
    </row>
    <row r="24">
      <c r="A24" s="2" t="n"/>
      <c r="B24" s="3" t="n"/>
      <c r="C24" s="2" t="n"/>
      <c r="D24" s="2" t="n"/>
      <c r="E24" s="2" t="n"/>
      <c r="F24" s="2" t="n"/>
      <c r="G24" s="2" t="n"/>
      <c r="H24" s="2" t="n"/>
      <c r="I24" s="2" t="n"/>
      <c r="J24" s="3" t="n"/>
      <c r="K24" s="4">
        <f>IF($B24="","",IF($J24&lt;&gt;"",$J24-$B24,TODAY()-$B24))</f>
        <v/>
      </c>
    </row>
    <row r="25">
      <c r="A25" s="2" t="n"/>
      <c r="B25" s="3" t="n"/>
      <c r="C25" s="2" t="n"/>
      <c r="D25" s="2" t="n"/>
      <c r="E25" s="2" t="n"/>
      <c r="F25" s="2" t="n"/>
      <c r="G25" s="2" t="n"/>
      <c r="H25" s="2" t="n"/>
      <c r="I25" s="2" t="n"/>
      <c r="J25" s="3" t="n"/>
      <c r="K25" s="4">
        <f>IF($B25="","",IF($J25&lt;&gt;"",$J25-$B25,TODAY()-$B25))</f>
        <v/>
      </c>
    </row>
    <row r="26">
      <c r="A26" s="2" t="n"/>
      <c r="B26" s="3" t="n"/>
      <c r="C26" s="2" t="n"/>
      <c r="D26" s="2" t="n"/>
      <c r="E26" s="2" t="n"/>
      <c r="F26" s="2" t="n"/>
      <c r="G26" s="2" t="n"/>
      <c r="H26" s="2" t="n"/>
      <c r="I26" s="2" t="n"/>
      <c r="J26" s="3" t="n"/>
      <c r="K26" s="4">
        <f>IF($B26="","",IF($J26&lt;&gt;"",$J26-$B26,TODAY()-$B26))</f>
        <v/>
      </c>
    </row>
    <row r="27">
      <c r="A27" s="2" t="n"/>
      <c r="B27" s="3" t="n"/>
      <c r="C27" s="2" t="n"/>
      <c r="D27" s="2" t="n"/>
      <c r="E27" s="2" t="n"/>
      <c r="F27" s="2" t="n"/>
      <c r="G27" s="2" t="n"/>
      <c r="H27" s="2" t="n"/>
      <c r="I27" s="2" t="n"/>
      <c r="J27" s="3" t="n"/>
      <c r="K27" s="4">
        <f>IF($B27="","",IF($J27&lt;&gt;"",$J27-$B27,TODAY()-$B27))</f>
        <v/>
      </c>
    </row>
    <row r="28">
      <c r="A28" s="2" t="n"/>
      <c r="B28" s="3" t="n"/>
      <c r="C28" s="2" t="n"/>
      <c r="D28" s="2" t="n"/>
      <c r="E28" s="2" t="n"/>
      <c r="F28" s="2" t="n"/>
      <c r="G28" s="2" t="n"/>
      <c r="H28" s="2" t="n"/>
      <c r="I28" s="2" t="n"/>
      <c r="J28" s="3" t="n"/>
      <c r="K28" s="4">
        <f>IF($B28="","",IF($J28&lt;&gt;"",$J28-$B28,TODAY()-$B28))</f>
        <v/>
      </c>
    </row>
    <row r="29">
      <c r="A29" s="2" t="n"/>
      <c r="B29" s="3" t="n"/>
      <c r="C29" s="2" t="n"/>
      <c r="D29" s="2" t="n"/>
      <c r="E29" s="2" t="n"/>
      <c r="F29" s="2" t="n"/>
      <c r="G29" s="2" t="n"/>
      <c r="H29" s="2" t="n"/>
      <c r="I29" s="2" t="n"/>
      <c r="J29" s="3" t="n"/>
      <c r="K29" s="4">
        <f>IF($B29="","",IF($J29&lt;&gt;"",$J29-$B29,TODAY()-$B29))</f>
        <v/>
      </c>
    </row>
    <row r="30">
      <c r="A30" s="2" t="n"/>
      <c r="B30" s="3" t="n"/>
      <c r="C30" s="2" t="n"/>
      <c r="D30" s="2" t="n"/>
      <c r="E30" s="2" t="n"/>
      <c r="F30" s="2" t="n"/>
      <c r="G30" s="2" t="n"/>
      <c r="H30" s="2" t="n"/>
      <c r="I30" s="2" t="n"/>
      <c r="J30" s="3" t="n"/>
      <c r="K30" s="4">
        <f>IF($B30="","",IF($J30&lt;&gt;"",$J30-$B30,TODAY()-$B30))</f>
        <v/>
      </c>
    </row>
    <row r="31">
      <c r="A31" s="2" t="n"/>
      <c r="B31" s="3" t="n"/>
      <c r="C31" s="2" t="n"/>
      <c r="D31" s="2" t="n"/>
      <c r="E31" s="2" t="n"/>
      <c r="F31" s="2" t="n"/>
      <c r="G31" s="2" t="n"/>
      <c r="H31" s="2" t="n"/>
      <c r="I31" s="2" t="n"/>
      <c r="J31" s="3" t="n"/>
      <c r="K31" s="4">
        <f>IF($B31="","",IF($J31&lt;&gt;"",$J31-$B31,TODAY()-$B31))</f>
        <v/>
      </c>
    </row>
    <row r="32">
      <c r="A32" s="2" t="n"/>
      <c r="B32" s="3" t="n"/>
      <c r="C32" s="2" t="n"/>
      <c r="D32" s="2" t="n"/>
      <c r="E32" s="2" t="n"/>
      <c r="F32" s="2" t="n"/>
      <c r="G32" s="2" t="n"/>
      <c r="H32" s="2" t="n"/>
      <c r="I32" s="2" t="n"/>
      <c r="J32" s="3" t="n"/>
      <c r="K32" s="4">
        <f>IF($B32="","",IF($J32&lt;&gt;"",$J32-$B32,TODAY()-$B32))</f>
        <v/>
      </c>
    </row>
    <row r="33">
      <c r="A33" s="2" t="n"/>
      <c r="B33" s="3" t="n"/>
      <c r="C33" s="2" t="n"/>
      <c r="D33" s="2" t="n"/>
      <c r="E33" s="2" t="n"/>
      <c r="F33" s="2" t="n"/>
      <c r="G33" s="2" t="n"/>
      <c r="H33" s="2" t="n"/>
      <c r="I33" s="2" t="n"/>
      <c r="J33" s="3" t="n"/>
      <c r="K33" s="4">
        <f>IF($B33="","",IF($J33&lt;&gt;"",$J33-$B33,TODAY()-$B33))</f>
        <v/>
      </c>
    </row>
    <row r="34">
      <c r="A34" s="2" t="n"/>
      <c r="B34" s="3" t="n"/>
      <c r="C34" s="2" t="n"/>
      <c r="D34" s="2" t="n"/>
      <c r="E34" s="2" t="n"/>
      <c r="F34" s="2" t="n"/>
      <c r="G34" s="2" t="n"/>
      <c r="H34" s="2" t="n"/>
      <c r="I34" s="2" t="n"/>
      <c r="J34" s="3" t="n"/>
      <c r="K34" s="4">
        <f>IF($B34="","",IF($J34&lt;&gt;"",$J34-$B34,TODAY()-$B34))</f>
        <v/>
      </c>
    </row>
    <row r="35">
      <c r="A35" s="2" t="n"/>
      <c r="B35" s="3" t="n"/>
      <c r="C35" s="2" t="n"/>
      <c r="D35" s="2" t="n"/>
      <c r="E35" s="2" t="n"/>
      <c r="F35" s="2" t="n"/>
      <c r="G35" s="2" t="n"/>
      <c r="H35" s="2" t="n"/>
      <c r="I35" s="2" t="n"/>
      <c r="J35" s="3" t="n"/>
      <c r="K35" s="4">
        <f>IF($B35="","",IF($J35&lt;&gt;"",$J35-$B35,TODAY()-$B35))</f>
        <v/>
      </c>
    </row>
    <row r="36">
      <c r="A36" s="2" t="n"/>
      <c r="B36" s="3" t="n"/>
      <c r="C36" s="2" t="n"/>
      <c r="D36" s="2" t="n"/>
      <c r="E36" s="2" t="n"/>
      <c r="F36" s="2" t="n"/>
      <c r="G36" s="2" t="n"/>
      <c r="H36" s="2" t="n"/>
      <c r="I36" s="2" t="n"/>
      <c r="J36" s="3" t="n"/>
      <c r="K36" s="4">
        <f>IF($B36="","",IF($J36&lt;&gt;"",$J36-$B36,TODAY()-$B36))</f>
        <v/>
      </c>
    </row>
    <row r="37">
      <c r="A37" s="2" t="n"/>
      <c r="B37" s="3" t="n"/>
      <c r="C37" s="2" t="n"/>
      <c r="D37" s="2" t="n"/>
      <c r="E37" s="2" t="n"/>
      <c r="F37" s="2" t="n"/>
      <c r="G37" s="2" t="n"/>
      <c r="H37" s="2" t="n"/>
      <c r="I37" s="2" t="n"/>
      <c r="J37" s="3" t="n"/>
      <c r="K37" s="4">
        <f>IF($B37="","",IF($J37&lt;&gt;"",$J37-$B37,TODAY()-$B37))</f>
        <v/>
      </c>
    </row>
    <row r="38">
      <c r="A38" s="2" t="n"/>
      <c r="B38" s="3" t="n"/>
      <c r="C38" s="2" t="n"/>
      <c r="D38" s="2" t="n"/>
      <c r="E38" s="2" t="n"/>
      <c r="F38" s="2" t="n"/>
      <c r="G38" s="2" t="n"/>
      <c r="H38" s="2" t="n"/>
      <c r="I38" s="2" t="n"/>
      <c r="J38" s="3" t="n"/>
      <c r="K38" s="4">
        <f>IF($B38="","",IF($J38&lt;&gt;"",$J38-$B38,TODAY()-$B38))</f>
        <v/>
      </c>
    </row>
    <row r="39">
      <c r="A39" s="2" t="n"/>
      <c r="B39" s="3" t="n"/>
      <c r="C39" s="2" t="n"/>
      <c r="D39" s="2" t="n"/>
      <c r="E39" s="2" t="n"/>
      <c r="F39" s="2" t="n"/>
      <c r="G39" s="2" t="n"/>
      <c r="H39" s="2" t="n"/>
      <c r="I39" s="2" t="n"/>
      <c r="J39" s="3" t="n"/>
      <c r="K39" s="4">
        <f>IF($B39="","",IF($J39&lt;&gt;"",$J39-$B39,TODAY()-$B39))</f>
        <v/>
      </c>
    </row>
    <row r="40">
      <c r="A40" s="2" t="n"/>
      <c r="B40" s="3" t="n"/>
      <c r="C40" s="2" t="n"/>
      <c r="D40" s="2" t="n"/>
      <c r="E40" s="2" t="n"/>
      <c r="F40" s="2" t="n"/>
      <c r="G40" s="2" t="n"/>
      <c r="H40" s="2" t="n"/>
      <c r="I40" s="2" t="n"/>
      <c r="J40" s="3" t="n"/>
      <c r="K40" s="4">
        <f>IF($B40="","",IF($J40&lt;&gt;"",$J40-$B40,TODAY()-$B40))</f>
        <v/>
      </c>
    </row>
    <row r="41">
      <c r="A41" s="2" t="n"/>
      <c r="B41" s="3" t="n"/>
      <c r="C41" s="2" t="n"/>
      <c r="D41" s="2" t="n"/>
      <c r="E41" s="2" t="n"/>
      <c r="F41" s="2" t="n"/>
      <c r="G41" s="2" t="n"/>
      <c r="H41" s="2" t="n"/>
      <c r="I41" s="2" t="n"/>
      <c r="J41" s="3" t="n"/>
      <c r="K41" s="4">
        <f>IF($B41="","",IF($J41&lt;&gt;"",$J41-$B41,TODAY()-$B41))</f>
        <v/>
      </c>
    </row>
    <row r="42">
      <c r="A42" s="2" t="n"/>
      <c r="B42" s="3" t="n"/>
      <c r="C42" s="2" t="n"/>
      <c r="D42" s="2" t="n"/>
      <c r="E42" s="2" t="n"/>
      <c r="F42" s="2" t="n"/>
      <c r="G42" s="2" t="n"/>
      <c r="H42" s="2" t="n"/>
      <c r="I42" s="2" t="n"/>
      <c r="J42" s="3" t="n"/>
      <c r="K42" s="4">
        <f>IF($B42="","",IF($J42&lt;&gt;"",$J42-$B42,TODAY()-$B42))</f>
        <v/>
      </c>
    </row>
    <row r="43">
      <c r="A43" s="2" t="n"/>
      <c r="B43" s="3" t="n"/>
      <c r="C43" s="2" t="n"/>
      <c r="D43" s="2" t="n"/>
      <c r="E43" s="2" t="n"/>
      <c r="F43" s="2" t="n"/>
      <c r="G43" s="2" t="n"/>
      <c r="H43" s="2" t="n"/>
      <c r="I43" s="2" t="n"/>
      <c r="J43" s="3" t="n"/>
      <c r="K43" s="4">
        <f>IF($B43="","",IF($J43&lt;&gt;"",$J43-$B43,TODAY()-$B43))</f>
        <v/>
      </c>
    </row>
    <row r="44">
      <c r="A44" s="2" t="n"/>
      <c r="B44" s="3" t="n"/>
      <c r="C44" s="2" t="n"/>
      <c r="D44" s="2" t="n"/>
      <c r="E44" s="2" t="n"/>
      <c r="F44" s="2" t="n"/>
      <c r="G44" s="2" t="n"/>
      <c r="H44" s="2" t="n"/>
      <c r="I44" s="2" t="n"/>
      <c r="J44" s="3" t="n"/>
      <c r="K44" s="4">
        <f>IF($B44="","",IF($J44&lt;&gt;"",$J44-$B44,TODAY()-$B44))</f>
        <v/>
      </c>
    </row>
    <row r="45">
      <c r="A45" s="2" t="n"/>
      <c r="B45" s="3" t="n"/>
      <c r="C45" s="2" t="n"/>
      <c r="D45" s="2" t="n"/>
      <c r="E45" s="2" t="n"/>
      <c r="F45" s="2" t="n"/>
      <c r="G45" s="2" t="n"/>
      <c r="H45" s="2" t="n"/>
      <c r="I45" s="2" t="n"/>
      <c r="J45" s="3" t="n"/>
      <c r="K45" s="4">
        <f>IF($B45="","",IF($J45&lt;&gt;"",$J45-$B45,TODAY()-$B45))</f>
        <v/>
      </c>
    </row>
    <row r="46">
      <c r="A46" s="2" t="n"/>
      <c r="B46" s="3" t="n"/>
      <c r="C46" s="2" t="n"/>
      <c r="D46" s="2" t="n"/>
      <c r="E46" s="2" t="n"/>
      <c r="F46" s="2" t="n"/>
      <c r="G46" s="2" t="n"/>
      <c r="H46" s="2" t="n"/>
      <c r="I46" s="2" t="n"/>
      <c r="J46" s="3" t="n"/>
      <c r="K46" s="4">
        <f>IF($B46="","",IF($J46&lt;&gt;"",$J46-$B46,TODAY()-$B46))</f>
        <v/>
      </c>
    </row>
    <row r="47">
      <c r="A47" s="2" t="n"/>
      <c r="B47" s="3" t="n"/>
      <c r="C47" s="2" t="n"/>
      <c r="D47" s="2" t="n"/>
      <c r="E47" s="2" t="n"/>
      <c r="F47" s="2" t="n"/>
      <c r="G47" s="2" t="n"/>
      <c r="H47" s="2" t="n"/>
      <c r="I47" s="2" t="n"/>
      <c r="J47" s="3" t="n"/>
      <c r="K47" s="4">
        <f>IF($B47="","",IF($J47&lt;&gt;"",$J47-$B47,TODAY()-$B47))</f>
        <v/>
      </c>
    </row>
    <row r="48">
      <c r="A48" s="2" t="n"/>
      <c r="B48" s="3" t="n"/>
      <c r="C48" s="2" t="n"/>
      <c r="D48" s="2" t="n"/>
      <c r="E48" s="2" t="n"/>
      <c r="F48" s="2" t="n"/>
      <c r="G48" s="2" t="n"/>
      <c r="H48" s="2" t="n"/>
      <c r="I48" s="2" t="n"/>
      <c r="J48" s="3" t="n"/>
      <c r="K48" s="4">
        <f>IF($B48="","",IF($J48&lt;&gt;"",$J48-$B48,TODAY()-$B48))</f>
        <v/>
      </c>
    </row>
    <row r="49">
      <c r="A49" s="2" t="n"/>
      <c r="B49" s="3" t="n"/>
      <c r="C49" s="2" t="n"/>
      <c r="D49" s="2" t="n"/>
      <c r="E49" s="2" t="n"/>
      <c r="F49" s="2" t="n"/>
      <c r="G49" s="2" t="n"/>
      <c r="H49" s="2" t="n"/>
      <c r="I49" s="2" t="n"/>
      <c r="J49" s="3" t="n"/>
      <c r="K49" s="4">
        <f>IF($B49="","",IF($J49&lt;&gt;"",$J49-$B49,TODAY()-$B49))</f>
        <v/>
      </c>
    </row>
    <row r="50">
      <c r="A50" s="2" t="n"/>
      <c r="B50" s="3" t="n"/>
      <c r="C50" s="2" t="n"/>
      <c r="D50" s="2" t="n"/>
      <c r="E50" s="2" t="n"/>
      <c r="F50" s="2" t="n"/>
      <c r="G50" s="2" t="n"/>
      <c r="H50" s="2" t="n"/>
      <c r="I50" s="2" t="n"/>
      <c r="J50" s="3" t="n"/>
      <c r="K50" s="4">
        <f>IF($B50="","",IF($J50&lt;&gt;"",$J50-$B50,TODAY()-$B50))</f>
        <v/>
      </c>
    </row>
    <row r="51">
      <c r="A51" s="2" t="n"/>
      <c r="B51" s="3" t="n"/>
      <c r="C51" s="2" t="n"/>
      <c r="D51" s="2" t="n"/>
      <c r="E51" s="2" t="n"/>
      <c r="F51" s="2" t="n"/>
      <c r="G51" s="2" t="n"/>
      <c r="H51" s="2" t="n"/>
      <c r="I51" s="2" t="n"/>
      <c r="J51" s="3" t="n"/>
      <c r="K51" s="4">
        <f>IF($B51="","",IF($J51&lt;&gt;"",$J51-$B51,TODAY()-$B51))</f>
        <v/>
      </c>
    </row>
    <row r="52">
      <c r="A52" s="2" t="n"/>
      <c r="B52" s="3" t="n"/>
      <c r="C52" s="2" t="n"/>
      <c r="D52" s="2" t="n"/>
      <c r="E52" s="2" t="n"/>
      <c r="F52" s="2" t="n"/>
      <c r="G52" s="2" t="n"/>
      <c r="H52" s="2" t="n"/>
      <c r="I52" s="2" t="n"/>
      <c r="J52" s="3" t="n"/>
      <c r="K52" s="4">
        <f>IF($B52="","",IF($J52&lt;&gt;"",$J52-$B52,TODAY()-$B52))</f>
        <v/>
      </c>
    </row>
    <row r="53">
      <c r="A53" s="2" t="n"/>
      <c r="B53" s="3" t="n"/>
      <c r="C53" s="2" t="n"/>
      <c r="D53" s="2" t="n"/>
      <c r="E53" s="2" t="n"/>
      <c r="F53" s="2" t="n"/>
      <c r="G53" s="2" t="n"/>
      <c r="H53" s="2" t="n"/>
      <c r="I53" s="2" t="n"/>
      <c r="J53" s="3" t="n"/>
      <c r="K53" s="4">
        <f>IF($B53="","",IF($J53&lt;&gt;"",$J53-$B53,TODAY()-$B53))</f>
        <v/>
      </c>
    </row>
    <row r="54">
      <c r="A54" s="2" t="n"/>
      <c r="B54" s="3" t="n"/>
      <c r="C54" s="2" t="n"/>
      <c r="D54" s="2" t="n"/>
      <c r="E54" s="2" t="n"/>
      <c r="F54" s="2" t="n"/>
      <c r="G54" s="2" t="n"/>
      <c r="H54" s="2" t="n"/>
      <c r="I54" s="2" t="n"/>
      <c r="J54" s="3" t="n"/>
      <c r="K54" s="4">
        <f>IF($B54="","",IF($J54&lt;&gt;"",$J54-$B54,TODAY()-$B54))</f>
        <v/>
      </c>
    </row>
    <row r="55">
      <c r="A55" s="2" t="n"/>
      <c r="B55" s="3" t="n"/>
      <c r="C55" s="2" t="n"/>
      <c r="D55" s="2" t="n"/>
      <c r="E55" s="2" t="n"/>
      <c r="F55" s="2" t="n"/>
      <c r="G55" s="2" t="n"/>
      <c r="H55" s="2" t="n"/>
      <c r="I55" s="2" t="n"/>
      <c r="J55" s="3" t="n"/>
      <c r="K55" s="4">
        <f>IF($B55="","",IF($J55&lt;&gt;"",$J55-$B55,TODAY()-$B55))</f>
        <v/>
      </c>
    </row>
    <row r="56">
      <c r="A56" s="2" t="n"/>
      <c r="B56" s="3" t="n"/>
      <c r="C56" s="2" t="n"/>
      <c r="D56" s="2" t="n"/>
      <c r="E56" s="2" t="n"/>
      <c r="F56" s="2" t="n"/>
      <c r="G56" s="2" t="n"/>
      <c r="H56" s="2" t="n"/>
      <c r="I56" s="2" t="n"/>
      <c r="J56" s="3" t="n"/>
      <c r="K56" s="4">
        <f>IF($B56="","",IF($J56&lt;&gt;"",$J56-$B56,TODAY()-$B56))</f>
        <v/>
      </c>
    </row>
    <row r="57">
      <c r="A57" s="2" t="n"/>
      <c r="B57" s="3" t="n"/>
      <c r="C57" s="2" t="n"/>
      <c r="D57" s="2" t="n"/>
      <c r="E57" s="2" t="n"/>
      <c r="F57" s="2" t="n"/>
      <c r="G57" s="2" t="n"/>
      <c r="H57" s="2" t="n"/>
      <c r="I57" s="2" t="n"/>
      <c r="J57" s="3" t="n"/>
      <c r="K57" s="4">
        <f>IF($B57="","",IF($J57&lt;&gt;"",$J57-$B57,TODAY()-$B57))</f>
        <v/>
      </c>
    </row>
    <row r="58">
      <c r="A58" s="2" t="n"/>
      <c r="B58" s="3" t="n"/>
      <c r="C58" s="2" t="n"/>
      <c r="D58" s="2" t="n"/>
      <c r="E58" s="2" t="n"/>
      <c r="F58" s="2" t="n"/>
      <c r="G58" s="2" t="n"/>
      <c r="H58" s="2" t="n"/>
      <c r="I58" s="2" t="n"/>
      <c r="J58" s="3" t="n"/>
      <c r="K58" s="4">
        <f>IF($B58="","",IF($J58&lt;&gt;"",$J58-$B58,TODAY()-$B58))</f>
        <v/>
      </c>
    </row>
    <row r="59">
      <c r="A59" s="2" t="n"/>
      <c r="B59" s="3" t="n"/>
      <c r="C59" s="2" t="n"/>
      <c r="D59" s="2" t="n"/>
      <c r="E59" s="2" t="n"/>
      <c r="F59" s="2" t="n"/>
      <c r="G59" s="2" t="n"/>
      <c r="H59" s="2" t="n"/>
      <c r="I59" s="2" t="n"/>
      <c r="J59" s="3" t="n"/>
      <c r="K59" s="4">
        <f>IF($B59="","",IF($J59&lt;&gt;"",$J59-$B59,TODAY()-$B59))</f>
        <v/>
      </c>
    </row>
    <row r="60">
      <c r="A60" s="2" t="n"/>
      <c r="B60" s="3" t="n"/>
      <c r="C60" s="2" t="n"/>
      <c r="D60" s="2" t="n"/>
      <c r="E60" s="2" t="n"/>
      <c r="F60" s="2" t="n"/>
      <c r="G60" s="2" t="n"/>
      <c r="H60" s="2" t="n"/>
      <c r="I60" s="2" t="n"/>
      <c r="J60" s="3" t="n"/>
      <c r="K60" s="4">
        <f>IF($B60="","",IF($J60&lt;&gt;"",$J60-$B60,TODAY()-$B60))</f>
        <v/>
      </c>
    </row>
    <row r="61">
      <c r="A61" s="2" t="n"/>
      <c r="B61" s="3" t="n"/>
      <c r="C61" s="2" t="n"/>
      <c r="D61" s="2" t="n"/>
      <c r="E61" s="2" t="n"/>
      <c r="F61" s="2" t="n"/>
      <c r="G61" s="2" t="n"/>
      <c r="H61" s="2" t="n"/>
      <c r="I61" s="2" t="n"/>
      <c r="J61" s="3" t="n"/>
      <c r="K61" s="4">
        <f>IF($B61="","",IF($J61&lt;&gt;"",$J61-$B61,TODAY()-$B61))</f>
        <v/>
      </c>
    </row>
    <row r="62">
      <c r="A62" s="2" t="n"/>
      <c r="B62" s="3" t="n"/>
      <c r="C62" s="2" t="n"/>
      <c r="D62" s="2" t="n"/>
      <c r="E62" s="2" t="n"/>
      <c r="F62" s="2" t="n"/>
      <c r="G62" s="2" t="n"/>
      <c r="H62" s="2" t="n"/>
      <c r="I62" s="2" t="n"/>
      <c r="J62" s="3" t="n"/>
      <c r="K62" s="4">
        <f>IF($B62="","",IF($J62&lt;&gt;"",$J62-$B62,TODAY()-$B62))</f>
        <v/>
      </c>
    </row>
    <row r="63">
      <c r="A63" s="2" t="n"/>
      <c r="B63" s="3" t="n"/>
      <c r="C63" s="2" t="n"/>
      <c r="D63" s="2" t="n"/>
      <c r="E63" s="2" t="n"/>
      <c r="F63" s="2" t="n"/>
      <c r="G63" s="2" t="n"/>
      <c r="H63" s="2" t="n"/>
      <c r="I63" s="2" t="n"/>
      <c r="J63" s="3" t="n"/>
      <c r="K63" s="4">
        <f>IF($B63="","",IF($J63&lt;&gt;"",$J63-$B63,TODAY()-$B63))</f>
        <v/>
      </c>
    </row>
    <row r="64">
      <c r="A64" s="2" t="n"/>
      <c r="B64" s="3" t="n"/>
      <c r="C64" s="2" t="n"/>
      <c r="D64" s="2" t="n"/>
      <c r="E64" s="2" t="n"/>
      <c r="F64" s="2" t="n"/>
      <c r="G64" s="2" t="n"/>
      <c r="H64" s="2" t="n"/>
      <c r="I64" s="2" t="n"/>
      <c r="J64" s="3" t="n"/>
      <c r="K64" s="4">
        <f>IF($B64="","",IF($J64&lt;&gt;"",$J64-$B64,TODAY()-$B64))</f>
        <v/>
      </c>
    </row>
    <row r="65">
      <c r="A65" s="2" t="n"/>
      <c r="B65" s="3" t="n"/>
      <c r="C65" s="2" t="n"/>
      <c r="D65" s="2" t="n"/>
      <c r="E65" s="2" t="n"/>
      <c r="F65" s="2" t="n"/>
      <c r="G65" s="2" t="n"/>
      <c r="H65" s="2" t="n"/>
      <c r="I65" s="2" t="n"/>
      <c r="J65" s="3" t="n"/>
      <c r="K65" s="4">
        <f>IF($B65="","",IF($J65&lt;&gt;"",$J65-$B65,TODAY()-$B65))</f>
        <v/>
      </c>
    </row>
    <row r="66">
      <c r="A66" s="2" t="n"/>
      <c r="B66" s="3" t="n"/>
      <c r="C66" s="2" t="n"/>
      <c r="D66" s="2" t="n"/>
      <c r="E66" s="2" t="n"/>
      <c r="F66" s="2" t="n"/>
      <c r="G66" s="2" t="n"/>
      <c r="H66" s="2" t="n"/>
      <c r="I66" s="2" t="n"/>
      <c r="J66" s="3" t="n"/>
      <c r="K66" s="4">
        <f>IF($B66="","",IF($J66&lt;&gt;"",$J66-$B66,TODAY()-$B66))</f>
        <v/>
      </c>
    </row>
    <row r="67">
      <c r="A67" s="2" t="n"/>
      <c r="B67" s="3" t="n"/>
      <c r="C67" s="2" t="n"/>
      <c r="D67" s="2" t="n"/>
      <c r="E67" s="2" t="n"/>
      <c r="F67" s="2" t="n"/>
      <c r="G67" s="2" t="n"/>
      <c r="H67" s="2" t="n"/>
      <c r="I67" s="2" t="n"/>
      <c r="J67" s="3" t="n"/>
      <c r="K67" s="4">
        <f>IF($B67="","",IF($J67&lt;&gt;"",$J67-$B67,TODAY()-$B67))</f>
        <v/>
      </c>
    </row>
    <row r="68">
      <c r="A68" s="2" t="n"/>
      <c r="B68" s="3" t="n"/>
      <c r="C68" s="2" t="n"/>
      <c r="D68" s="2" t="n"/>
      <c r="E68" s="2" t="n"/>
      <c r="F68" s="2" t="n"/>
      <c r="G68" s="2" t="n"/>
      <c r="H68" s="2" t="n"/>
      <c r="I68" s="2" t="n"/>
      <c r="J68" s="3" t="n"/>
      <c r="K68" s="4">
        <f>IF($B68="","",IF($J68&lt;&gt;"",$J68-$B68,TODAY()-$B68))</f>
        <v/>
      </c>
    </row>
    <row r="69">
      <c r="A69" s="2" t="n"/>
      <c r="B69" s="3" t="n"/>
      <c r="C69" s="2" t="n"/>
      <c r="D69" s="2" t="n"/>
      <c r="E69" s="2" t="n"/>
      <c r="F69" s="2" t="n"/>
      <c r="G69" s="2" t="n"/>
      <c r="H69" s="2" t="n"/>
      <c r="I69" s="2" t="n"/>
      <c r="J69" s="3" t="n"/>
      <c r="K69" s="4">
        <f>IF($B69="","",IF($J69&lt;&gt;"",$J69-$B69,TODAY()-$B69))</f>
        <v/>
      </c>
    </row>
    <row r="70">
      <c r="A70" s="2" t="n"/>
      <c r="B70" s="3" t="n"/>
      <c r="C70" s="2" t="n"/>
      <c r="D70" s="2" t="n"/>
      <c r="E70" s="2" t="n"/>
      <c r="F70" s="2" t="n"/>
      <c r="G70" s="2" t="n"/>
      <c r="H70" s="2" t="n"/>
      <c r="I70" s="2" t="n"/>
      <c r="J70" s="3" t="n"/>
      <c r="K70" s="4">
        <f>IF($B70="","",IF($J70&lt;&gt;"",$J70-$B70,TODAY()-$B70))</f>
        <v/>
      </c>
    </row>
    <row r="71">
      <c r="A71" s="2" t="n"/>
      <c r="B71" s="3" t="n"/>
      <c r="C71" s="2" t="n"/>
      <c r="D71" s="2" t="n"/>
      <c r="E71" s="2" t="n"/>
      <c r="F71" s="2" t="n"/>
      <c r="G71" s="2" t="n"/>
      <c r="H71" s="2" t="n"/>
      <c r="I71" s="2" t="n"/>
      <c r="J71" s="3" t="n"/>
      <c r="K71" s="4">
        <f>IF($B71="","",IF($J71&lt;&gt;"",$J71-$B71,TODAY()-$B71))</f>
        <v/>
      </c>
    </row>
    <row r="72">
      <c r="A72" s="2" t="n"/>
      <c r="B72" s="3" t="n"/>
      <c r="C72" s="2" t="n"/>
      <c r="D72" s="2" t="n"/>
      <c r="E72" s="2" t="n"/>
      <c r="F72" s="2" t="n"/>
      <c r="G72" s="2" t="n"/>
      <c r="H72" s="2" t="n"/>
      <c r="I72" s="2" t="n"/>
      <c r="J72" s="3" t="n"/>
      <c r="K72" s="4">
        <f>IF($B72="","",IF($J72&lt;&gt;"",$J72-$B72,TODAY()-$B72))</f>
        <v/>
      </c>
    </row>
    <row r="73">
      <c r="A73" s="2" t="n"/>
      <c r="B73" s="3" t="n"/>
      <c r="C73" s="2" t="n"/>
      <c r="D73" s="2" t="n"/>
      <c r="E73" s="2" t="n"/>
      <c r="F73" s="2" t="n"/>
      <c r="G73" s="2" t="n"/>
      <c r="H73" s="2" t="n"/>
      <c r="I73" s="2" t="n"/>
      <c r="J73" s="3" t="n"/>
      <c r="K73" s="4">
        <f>IF($B73="","",IF($J73&lt;&gt;"",$J73-$B73,TODAY()-$B73))</f>
        <v/>
      </c>
    </row>
    <row r="74">
      <c r="A74" s="2" t="n"/>
      <c r="B74" s="3" t="n"/>
      <c r="C74" s="2" t="n"/>
      <c r="D74" s="2" t="n"/>
      <c r="E74" s="2" t="n"/>
      <c r="F74" s="2" t="n"/>
      <c r="G74" s="2" t="n"/>
      <c r="H74" s="2" t="n"/>
      <c r="I74" s="2" t="n"/>
      <c r="J74" s="3" t="n"/>
      <c r="K74" s="4">
        <f>IF($B74="","",IF($J74&lt;&gt;"",$J74-$B74,TODAY()-$B74))</f>
        <v/>
      </c>
    </row>
    <row r="75">
      <c r="A75" s="2" t="n"/>
      <c r="B75" s="3" t="n"/>
      <c r="C75" s="2" t="n"/>
      <c r="D75" s="2" t="n"/>
      <c r="E75" s="2" t="n"/>
      <c r="F75" s="2" t="n"/>
      <c r="G75" s="2" t="n"/>
      <c r="H75" s="2" t="n"/>
      <c r="I75" s="2" t="n"/>
      <c r="J75" s="3" t="n"/>
      <c r="K75" s="4">
        <f>IF($B75="","",IF($J75&lt;&gt;"",$J75-$B75,TODAY()-$B75))</f>
        <v/>
      </c>
    </row>
    <row r="76">
      <c r="A76" s="2" t="n"/>
      <c r="B76" s="3" t="n"/>
      <c r="C76" s="2" t="n"/>
      <c r="D76" s="2" t="n"/>
      <c r="E76" s="2" t="n"/>
      <c r="F76" s="2" t="n"/>
      <c r="G76" s="2" t="n"/>
      <c r="H76" s="2" t="n"/>
      <c r="I76" s="2" t="n"/>
      <c r="J76" s="3" t="n"/>
      <c r="K76" s="4">
        <f>IF($B76="","",IF($J76&lt;&gt;"",$J76-$B76,TODAY()-$B76))</f>
        <v/>
      </c>
    </row>
    <row r="77">
      <c r="A77" s="2" t="n"/>
      <c r="B77" s="3" t="n"/>
      <c r="C77" s="2" t="n"/>
      <c r="D77" s="2" t="n"/>
      <c r="E77" s="2" t="n"/>
      <c r="F77" s="2" t="n"/>
      <c r="G77" s="2" t="n"/>
      <c r="H77" s="2" t="n"/>
      <c r="I77" s="2" t="n"/>
      <c r="J77" s="3" t="n"/>
      <c r="K77" s="4">
        <f>IF($B77="","",IF($J77&lt;&gt;"",$J77-$B77,TODAY()-$B77))</f>
        <v/>
      </c>
    </row>
    <row r="78">
      <c r="A78" s="2" t="n"/>
      <c r="B78" s="3" t="n"/>
      <c r="C78" s="2" t="n"/>
      <c r="D78" s="2" t="n"/>
      <c r="E78" s="2" t="n"/>
      <c r="F78" s="2" t="n"/>
      <c r="G78" s="2" t="n"/>
      <c r="H78" s="2" t="n"/>
      <c r="I78" s="2" t="n"/>
      <c r="J78" s="3" t="n"/>
      <c r="K78" s="4">
        <f>IF($B78="","",IF($J78&lt;&gt;"",$J78-$B78,TODAY()-$B78))</f>
        <v/>
      </c>
    </row>
    <row r="79">
      <c r="A79" s="2" t="n"/>
      <c r="B79" s="3" t="n"/>
      <c r="C79" s="2" t="n"/>
      <c r="D79" s="2" t="n"/>
      <c r="E79" s="2" t="n"/>
      <c r="F79" s="2" t="n"/>
      <c r="G79" s="2" t="n"/>
      <c r="H79" s="2" t="n"/>
      <c r="I79" s="2" t="n"/>
      <c r="J79" s="3" t="n"/>
      <c r="K79" s="4">
        <f>IF($B79="","",IF($J79&lt;&gt;"",$J79-$B79,TODAY()-$B79))</f>
        <v/>
      </c>
    </row>
    <row r="80">
      <c r="A80" s="2" t="n"/>
      <c r="B80" s="3" t="n"/>
      <c r="C80" s="2" t="n"/>
      <c r="D80" s="2" t="n"/>
      <c r="E80" s="2" t="n"/>
      <c r="F80" s="2" t="n"/>
      <c r="G80" s="2" t="n"/>
      <c r="H80" s="2" t="n"/>
      <c r="I80" s="2" t="n"/>
      <c r="J80" s="3" t="n"/>
      <c r="K80" s="4">
        <f>IF($B80="","",IF($J80&lt;&gt;"",$J80-$B80,TODAY()-$B80))</f>
        <v/>
      </c>
    </row>
    <row r="81">
      <c r="A81" s="2" t="n"/>
      <c r="B81" s="3" t="n"/>
      <c r="C81" s="2" t="n"/>
      <c r="D81" s="2" t="n"/>
      <c r="E81" s="2" t="n"/>
      <c r="F81" s="2" t="n"/>
      <c r="G81" s="2" t="n"/>
      <c r="H81" s="2" t="n"/>
      <c r="I81" s="2" t="n"/>
      <c r="J81" s="3" t="n"/>
      <c r="K81" s="4">
        <f>IF($B81="","",IF($J81&lt;&gt;"",$J81-$B81,TODAY()-$B81))</f>
        <v/>
      </c>
    </row>
    <row r="82">
      <c r="A82" s="2" t="n"/>
      <c r="B82" s="3" t="n"/>
      <c r="C82" s="2" t="n"/>
      <c r="D82" s="2" t="n"/>
      <c r="E82" s="2" t="n"/>
      <c r="F82" s="2" t="n"/>
      <c r="G82" s="2" t="n"/>
      <c r="H82" s="2" t="n"/>
      <c r="I82" s="2" t="n"/>
      <c r="J82" s="3" t="n"/>
      <c r="K82" s="4">
        <f>IF($B82="","",IF($J82&lt;&gt;"",$J82-$B82,TODAY()-$B82))</f>
        <v/>
      </c>
    </row>
    <row r="83">
      <c r="A83" s="2" t="n"/>
      <c r="B83" s="3" t="n"/>
      <c r="C83" s="2" t="n"/>
      <c r="D83" s="2" t="n"/>
      <c r="E83" s="2" t="n"/>
      <c r="F83" s="2" t="n"/>
      <c r="G83" s="2" t="n"/>
      <c r="H83" s="2" t="n"/>
      <c r="I83" s="2" t="n"/>
      <c r="J83" s="3" t="n"/>
      <c r="K83" s="4">
        <f>IF($B83="","",IF($J83&lt;&gt;"",$J83-$B83,TODAY()-$B83))</f>
        <v/>
      </c>
    </row>
    <row r="84">
      <c r="A84" s="2" t="n"/>
      <c r="B84" s="3" t="n"/>
      <c r="C84" s="2" t="n"/>
      <c r="D84" s="2" t="n"/>
      <c r="E84" s="2" t="n"/>
      <c r="F84" s="2" t="n"/>
      <c r="G84" s="2" t="n"/>
      <c r="H84" s="2" t="n"/>
      <c r="I84" s="2" t="n"/>
      <c r="J84" s="3" t="n"/>
      <c r="K84" s="4">
        <f>IF($B84="","",IF($J84&lt;&gt;"",$J84-$B84,TODAY()-$B84))</f>
        <v/>
      </c>
    </row>
    <row r="85">
      <c r="A85" s="2" t="n"/>
      <c r="B85" s="3" t="n"/>
      <c r="C85" s="2" t="n"/>
      <c r="D85" s="2" t="n"/>
      <c r="E85" s="2" t="n"/>
      <c r="F85" s="2" t="n"/>
      <c r="G85" s="2" t="n"/>
      <c r="H85" s="2" t="n"/>
      <c r="I85" s="2" t="n"/>
      <c r="J85" s="3" t="n"/>
      <c r="K85" s="4">
        <f>IF($B85="","",IF($J85&lt;&gt;"",$J85-$B85,TODAY()-$B85))</f>
        <v/>
      </c>
    </row>
    <row r="86">
      <c r="A86" s="2" t="n"/>
      <c r="B86" s="3" t="n"/>
      <c r="C86" s="2" t="n"/>
      <c r="D86" s="2" t="n"/>
      <c r="E86" s="2" t="n"/>
      <c r="F86" s="2" t="n"/>
      <c r="G86" s="2" t="n"/>
      <c r="H86" s="2" t="n"/>
      <c r="I86" s="2" t="n"/>
      <c r="J86" s="3" t="n"/>
      <c r="K86" s="4">
        <f>IF($B86="","",IF($J86&lt;&gt;"",$J86-$B86,TODAY()-$B86))</f>
        <v/>
      </c>
    </row>
    <row r="87">
      <c r="A87" s="2" t="n"/>
      <c r="B87" s="3" t="n"/>
      <c r="C87" s="2" t="n"/>
      <c r="D87" s="2" t="n"/>
      <c r="E87" s="2" t="n"/>
      <c r="F87" s="2" t="n"/>
      <c r="G87" s="2" t="n"/>
      <c r="H87" s="2" t="n"/>
      <c r="I87" s="2" t="n"/>
      <c r="J87" s="3" t="n"/>
      <c r="K87" s="4">
        <f>IF($B87="","",IF($J87&lt;&gt;"",$J87-$B87,TODAY()-$B87))</f>
        <v/>
      </c>
    </row>
    <row r="88">
      <c r="A88" s="2" t="n"/>
      <c r="B88" s="3" t="n"/>
      <c r="C88" s="2" t="n"/>
      <c r="D88" s="2" t="n"/>
      <c r="E88" s="2" t="n"/>
      <c r="F88" s="2" t="n"/>
      <c r="G88" s="2" t="n"/>
      <c r="H88" s="2" t="n"/>
      <c r="I88" s="2" t="n"/>
      <c r="J88" s="3" t="n"/>
      <c r="K88" s="4">
        <f>IF($B88="","",IF($J88&lt;&gt;"",$J88-$B88,TODAY()-$B88))</f>
        <v/>
      </c>
    </row>
    <row r="89">
      <c r="A89" s="2" t="n"/>
      <c r="B89" s="3" t="n"/>
      <c r="C89" s="2" t="n"/>
      <c r="D89" s="2" t="n"/>
      <c r="E89" s="2" t="n"/>
      <c r="F89" s="2" t="n"/>
      <c r="G89" s="2" t="n"/>
      <c r="H89" s="2" t="n"/>
      <c r="I89" s="2" t="n"/>
      <c r="J89" s="3" t="n"/>
      <c r="K89" s="4">
        <f>IF($B89="","",IF($J89&lt;&gt;"",$J89-$B89,TODAY()-$B89))</f>
        <v/>
      </c>
    </row>
    <row r="90">
      <c r="A90" s="2" t="n"/>
      <c r="B90" s="3" t="n"/>
      <c r="C90" s="2" t="n"/>
      <c r="D90" s="2" t="n"/>
      <c r="E90" s="2" t="n"/>
      <c r="F90" s="2" t="n"/>
      <c r="G90" s="2" t="n"/>
      <c r="H90" s="2" t="n"/>
      <c r="I90" s="2" t="n"/>
      <c r="J90" s="3" t="n"/>
      <c r="K90" s="4">
        <f>IF($B90="","",IF($J90&lt;&gt;"",$J90-$B90,TODAY()-$B90))</f>
        <v/>
      </c>
    </row>
    <row r="91">
      <c r="A91" s="2" t="n"/>
      <c r="B91" s="3" t="n"/>
      <c r="C91" s="2" t="n"/>
      <c r="D91" s="2" t="n"/>
      <c r="E91" s="2" t="n"/>
      <c r="F91" s="2" t="n"/>
      <c r="G91" s="2" t="n"/>
      <c r="H91" s="2" t="n"/>
      <c r="I91" s="2" t="n"/>
      <c r="J91" s="3" t="n"/>
      <c r="K91" s="4">
        <f>IF($B91="","",IF($J91&lt;&gt;"",$J91-$B91,TODAY()-$B91))</f>
        <v/>
      </c>
    </row>
    <row r="92">
      <c r="A92" s="2" t="n"/>
      <c r="B92" s="3" t="n"/>
      <c r="C92" s="2" t="n"/>
      <c r="D92" s="2" t="n"/>
      <c r="E92" s="2" t="n"/>
      <c r="F92" s="2" t="n"/>
      <c r="G92" s="2" t="n"/>
      <c r="H92" s="2" t="n"/>
      <c r="I92" s="2" t="n"/>
      <c r="J92" s="3" t="n"/>
      <c r="K92" s="4">
        <f>IF($B92="","",IF($J92&lt;&gt;"",$J92-$B92,TODAY()-$B92))</f>
        <v/>
      </c>
    </row>
    <row r="93">
      <c r="A93" s="2" t="n"/>
      <c r="B93" s="3" t="n"/>
      <c r="C93" s="2" t="n"/>
      <c r="D93" s="2" t="n"/>
      <c r="E93" s="2" t="n"/>
      <c r="F93" s="2" t="n"/>
      <c r="G93" s="2" t="n"/>
      <c r="H93" s="2" t="n"/>
      <c r="I93" s="2" t="n"/>
      <c r="J93" s="3" t="n"/>
      <c r="K93" s="4">
        <f>IF($B93="","",IF($J93&lt;&gt;"",$J93-$B93,TODAY()-$B93))</f>
        <v/>
      </c>
    </row>
    <row r="94">
      <c r="A94" s="2" t="n"/>
      <c r="B94" s="3" t="n"/>
      <c r="C94" s="2" t="n"/>
      <c r="D94" s="2" t="n"/>
      <c r="E94" s="2" t="n"/>
      <c r="F94" s="2" t="n"/>
      <c r="G94" s="2" t="n"/>
      <c r="H94" s="2" t="n"/>
      <c r="I94" s="2" t="n"/>
      <c r="J94" s="3" t="n"/>
      <c r="K94" s="4">
        <f>IF($B94="","",IF($J94&lt;&gt;"",$J94-$B94,TODAY()-$B94))</f>
        <v/>
      </c>
    </row>
    <row r="95">
      <c r="A95" s="2" t="n"/>
      <c r="B95" s="3" t="n"/>
      <c r="C95" s="2" t="n"/>
      <c r="D95" s="2" t="n"/>
      <c r="E95" s="2" t="n"/>
      <c r="F95" s="2" t="n"/>
      <c r="G95" s="2" t="n"/>
      <c r="H95" s="2" t="n"/>
      <c r="I95" s="2" t="n"/>
      <c r="J95" s="3" t="n"/>
      <c r="K95" s="4">
        <f>IF($B95="","",IF($J95&lt;&gt;"",$J95-$B95,TODAY()-$B95))</f>
        <v/>
      </c>
    </row>
    <row r="96">
      <c r="A96" s="2" t="n"/>
      <c r="B96" s="3" t="n"/>
      <c r="C96" s="2" t="n"/>
      <c r="D96" s="2" t="n"/>
      <c r="E96" s="2" t="n"/>
      <c r="F96" s="2" t="n"/>
      <c r="G96" s="2" t="n"/>
      <c r="H96" s="2" t="n"/>
      <c r="I96" s="2" t="n"/>
      <c r="J96" s="3" t="n"/>
      <c r="K96" s="4">
        <f>IF($B96="","",IF($J96&lt;&gt;"",$J96-$B96,TODAY()-$B96))</f>
        <v/>
      </c>
    </row>
    <row r="97">
      <c r="A97" s="2" t="n"/>
      <c r="B97" s="3" t="n"/>
      <c r="C97" s="2" t="n"/>
      <c r="D97" s="2" t="n"/>
      <c r="E97" s="2" t="n"/>
      <c r="F97" s="2" t="n"/>
      <c r="G97" s="2" t="n"/>
      <c r="H97" s="2" t="n"/>
      <c r="I97" s="2" t="n"/>
      <c r="J97" s="3" t="n"/>
      <c r="K97" s="4">
        <f>IF($B97="","",IF($J97&lt;&gt;"",$J97-$B97,TODAY()-$B97))</f>
        <v/>
      </c>
    </row>
    <row r="98">
      <c r="A98" s="2" t="n"/>
      <c r="B98" s="3" t="n"/>
      <c r="C98" s="2" t="n"/>
      <c r="D98" s="2" t="n"/>
      <c r="E98" s="2" t="n"/>
      <c r="F98" s="2" t="n"/>
      <c r="G98" s="2" t="n"/>
      <c r="H98" s="2" t="n"/>
      <c r="I98" s="2" t="n"/>
      <c r="J98" s="3" t="n"/>
      <c r="K98" s="4">
        <f>IF($B98="","",IF($J98&lt;&gt;"",$J98-$B98,TODAY()-$B98))</f>
        <v/>
      </c>
    </row>
    <row r="99">
      <c r="A99" s="2" t="n"/>
      <c r="B99" s="3" t="n"/>
      <c r="C99" s="2" t="n"/>
      <c r="D99" s="2" t="n"/>
      <c r="E99" s="2" t="n"/>
      <c r="F99" s="2" t="n"/>
      <c r="G99" s="2" t="n"/>
      <c r="H99" s="2" t="n"/>
      <c r="I99" s="2" t="n"/>
      <c r="J99" s="3" t="n"/>
      <c r="K99" s="4">
        <f>IF($B99="","",IF($J99&lt;&gt;"",$J99-$B99,TODAY()-$B99))</f>
        <v/>
      </c>
    </row>
    <row r="100">
      <c r="A100" s="2" t="n"/>
      <c r="B100" s="3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4">
        <f>IF($B100="","",IF($J100&lt;&gt;"",$J100-$B100,TODAY()-$B100))</f>
        <v/>
      </c>
    </row>
    <row r="101">
      <c r="A101" s="2" t="n"/>
      <c r="B101" s="3" t="n"/>
      <c r="C101" s="2" t="n"/>
      <c r="D101" s="2" t="n"/>
      <c r="E101" s="2" t="n"/>
      <c r="F101" s="2" t="n"/>
      <c r="G101" s="2" t="n"/>
      <c r="H101" s="2" t="n"/>
      <c r="I101" s="2" t="n"/>
      <c r="J101" s="3" t="n"/>
      <c r="K101" s="4">
        <f>IF($B101="","",IF($J101&lt;&gt;"",$J101-$B101,TODAY()-$B101))</f>
        <v/>
      </c>
    </row>
    <row r="102">
      <c r="A102" s="2" t="n"/>
      <c r="B102" s="3" t="n"/>
      <c r="C102" s="2" t="n"/>
      <c r="D102" s="2" t="n"/>
      <c r="E102" s="2" t="n"/>
      <c r="F102" s="2" t="n"/>
      <c r="G102" s="2" t="n"/>
      <c r="H102" s="2" t="n"/>
      <c r="I102" s="2" t="n"/>
      <c r="J102" s="3" t="n"/>
      <c r="K102" s="4">
        <f>IF($B102="","",IF($J102&lt;&gt;"",$J102-$B102,TODAY()-$B102))</f>
        <v/>
      </c>
    </row>
    <row r="103">
      <c r="A103" s="2" t="n"/>
      <c r="B103" s="3" t="n"/>
      <c r="C103" s="2" t="n"/>
      <c r="D103" s="2" t="n"/>
      <c r="E103" s="2" t="n"/>
      <c r="F103" s="2" t="n"/>
      <c r="G103" s="2" t="n"/>
      <c r="H103" s="2" t="n"/>
      <c r="I103" s="2" t="n"/>
      <c r="J103" s="3" t="n"/>
      <c r="K103" s="4">
        <f>IF($B103="","",IF($J103&lt;&gt;"",$J103-$B103,TODAY()-$B103))</f>
        <v/>
      </c>
    </row>
    <row r="104">
      <c r="A104" s="2" t="n"/>
      <c r="B104" s="3" t="n"/>
      <c r="C104" s="2" t="n"/>
      <c r="D104" s="2" t="n"/>
      <c r="E104" s="2" t="n"/>
      <c r="F104" s="2" t="n"/>
      <c r="G104" s="2" t="n"/>
      <c r="H104" s="2" t="n"/>
      <c r="I104" s="2" t="n"/>
      <c r="J104" s="3" t="n"/>
      <c r="K104" s="4">
        <f>IF($B104="","",IF($J104&lt;&gt;"",$J104-$B104,TODAY()-$B104))</f>
        <v/>
      </c>
    </row>
    <row r="105">
      <c r="A105" s="2" t="n"/>
      <c r="B105" s="3" t="n"/>
      <c r="C105" s="2" t="n"/>
      <c r="D105" s="2" t="n"/>
      <c r="E105" s="2" t="n"/>
      <c r="F105" s="2" t="n"/>
      <c r="G105" s="2" t="n"/>
      <c r="H105" s="2" t="n"/>
      <c r="I105" s="2" t="n"/>
      <c r="J105" s="3" t="n"/>
      <c r="K105" s="4">
        <f>IF($B105="","",IF($J105&lt;&gt;"",$J105-$B105,TODAY()-$B105))</f>
        <v/>
      </c>
    </row>
    <row r="106">
      <c r="A106" s="2" t="n"/>
      <c r="B106" s="3" t="n"/>
      <c r="C106" s="2" t="n"/>
      <c r="D106" s="2" t="n"/>
      <c r="E106" s="2" t="n"/>
      <c r="F106" s="2" t="n"/>
      <c r="G106" s="2" t="n"/>
      <c r="H106" s="2" t="n"/>
      <c r="I106" s="2" t="n"/>
      <c r="J106" s="3" t="n"/>
      <c r="K106" s="4">
        <f>IF($B106="","",IF($J106&lt;&gt;"",$J106-$B106,TODAY()-$B106))</f>
        <v/>
      </c>
    </row>
    <row r="107">
      <c r="A107" s="2" t="n"/>
      <c r="B107" s="3" t="n"/>
      <c r="C107" s="2" t="n"/>
      <c r="D107" s="2" t="n"/>
      <c r="E107" s="2" t="n"/>
      <c r="F107" s="2" t="n"/>
      <c r="G107" s="2" t="n"/>
      <c r="H107" s="2" t="n"/>
      <c r="I107" s="2" t="n"/>
      <c r="J107" s="3" t="n"/>
      <c r="K107" s="4">
        <f>IF($B107="","",IF($J107&lt;&gt;"",$J107-$B107,TODAY()-$B107))</f>
        <v/>
      </c>
    </row>
    <row r="108">
      <c r="A108" s="2" t="n"/>
      <c r="B108" s="3" t="n"/>
      <c r="C108" s="2" t="n"/>
      <c r="D108" s="2" t="n"/>
      <c r="E108" s="2" t="n"/>
      <c r="F108" s="2" t="n"/>
      <c r="G108" s="2" t="n"/>
      <c r="H108" s="2" t="n"/>
      <c r="I108" s="2" t="n"/>
      <c r="J108" s="3" t="n"/>
      <c r="K108" s="4">
        <f>IF($B108="","",IF($J108&lt;&gt;"",$J108-$B108,TODAY()-$B108))</f>
        <v/>
      </c>
    </row>
    <row r="109">
      <c r="A109" s="2" t="n"/>
      <c r="B109" s="3" t="n"/>
      <c r="C109" s="2" t="n"/>
      <c r="D109" s="2" t="n"/>
      <c r="E109" s="2" t="n"/>
      <c r="F109" s="2" t="n"/>
      <c r="G109" s="2" t="n"/>
      <c r="H109" s="2" t="n"/>
      <c r="I109" s="2" t="n"/>
      <c r="J109" s="3" t="n"/>
      <c r="K109" s="4">
        <f>IF($B109="","",IF($J109&lt;&gt;"",$J109-$B109,TODAY()-$B109))</f>
        <v/>
      </c>
    </row>
    <row r="110">
      <c r="A110" s="2" t="n"/>
      <c r="B110" s="3" t="n"/>
      <c r="C110" s="2" t="n"/>
      <c r="D110" s="2" t="n"/>
      <c r="E110" s="2" t="n"/>
      <c r="F110" s="2" t="n"/>
      <c r="G110" s="2" t="n"/>
      <c r="H110" s="2" t="n"/>
      <c r="I110" s="2" t="n"/>
      <c r="J110" s="3" t="n"/>
      <c r="K110" s="4">
        <f>IF($B110="","",IF($J110&lt;&gt;"",$J110-$B110,TODAY()-$B110))</f>
        <v/>
      </c>
    </row>
    <row r="111">
      <c r="A111" s="2" t="n"/>
      <c r="B111" s="3" t="n"/>
      <c r="C111" s="2" t="n"/>
      <c r="D111" s="2" t="n"/>
      <c r="E111" s="2" t="n"/>
      <c r="F111" s="2" t="n"/>
      <c r="G111" s="2" t="n"/>
      <c r="H111" s="2" t="n"/>
      <c r="I111" s="2" t="n"/>
      <c r="J111" s="3" t="n"/>
      <c r="K111" s="4">
        <f>IF($B111="","",IF($J111&lt;&gt;"",$J111-$B111,TODAY()-$B111))</f>
        <v/>
      </c>
    </row>
    <row r="112">
      <c r="A112" s="2" t="n"/>
      <c r="B112" s="3" t="n"/>
      <c r="C112" s="2" t="n"/>
      <c r="D112" s="2" t="n"/>
      <c r="E112" s="2" t="n"/>
      <c r="F112" s="2" t="n"/>
      <c r="G112" s="2" t="n"/>
      <c r="H112" s="2" t="n"/>
      <c r="I112" s="2" t="n"/>
      <c r="J112" s="3" t="n"/>
      <c r="K112" s="4">
        <f>IF($B112="","",IF($J112&lt;&gt;"",$J112-$B112,TODAY()-$B112))</f>
        <v/>
      </c>
    </row>
    <row r="113">
      <c r="A113" s="2" t="n"/>
      <c r="B113" s="3" t="n"/>
      <c r="C113" s="2" t="n"/>
      <c r="D113" s="2" t="n"/>
      <c r="E113" s="2" t="n"/>
      <c r="F113" s="2" t="n"/>
      <c r="G113" s="2" t="n"/>
      <c r="H113" s="2" t="n"/>
      <c r="I113" s="2" t="n"/>
      <c r="J113" s="3" t="n"/>
      <c r="K113" s="4">
        <f>IF($B113="","",IF($J113&lt;&gt;"",$J113-$B113,TODAY()-$B113))</f>
        <v/>
      </c>
    </row>
    <row r="114">
      <c r="A114" s="2" t="n"/>
      <c r="B114" s="3" t="n"/>
      <c r="C114" s="2" t="n"/>
      <c r="D114" s="2" t="n"/>
      <c r="E114" s="2" t="n"/>
      <c r="F114" s="2" t="n"/>
      <c r="G114" s="2" t="n"/>
      <c r="H114" s="2" t="n"/>
      <c r="I114" s="2" t="n"/>
      <c r="J114" s="3" t="n"/>
      <c r="K114" s="4">
        <f>IF($B114="","",IF($J114&lt;&gt;"",$J114-$B114,TODAY()-$B114))</f>
        <v/>
      </c>
    </row>
    <row r="115">
      <c r="A115" s="2" t="n"/>
      <c r="B115" s="3" t="n"/>
      <c r="C115" s="2" t="n"/>
      <c r="D115" s="2" t="n"/>
      <c r="E115" s="2" t="n"/>
      <c r="F115" s="2" t="n"/>
      <c r="G115" s="2" t="n"/>
      <c r="H115" s="2" t="n"/>
      <c r="I115" s="2" t="n"/>
      <c r="J115" s="3" t="n"/>
      <c r="K115" s="4">
        <f>IF($B115="","",IF($J115&lt;&gt;"",$J115-$B115,TODAY()-$B115))</f>
        <v/>
      </c>
    </row>
    <row r="116">
      <c r="A116" s="2" t="n"/>
      <c r="B116" s="3" t="n"/>
      <c r="C116" s="2" t="n"/>
      <c r="D116" s="2" t="n"/>
      <c r="E116" s="2" t="n"/>
      <c r="F116" s="2" t="n"/>
      <c r="G116" s="2" t="n"/>
      <c r="H116" s="2" t="n"/>
      <c r="I116" s="2" t="n"/>
      <c r="J116" s="3" t="n"/>
      <c r="K116" s="4">
        <f>IF($B116="","",IF($J116&lt;&gt;"",$J116-$B116,TODAY()-$B116))</f>
        <v/>
      </c>
    </row>
    <row r="117">
      <c r="A117" s="2" t="n"/>
      <c r="B117" s="3" t="n"/>
      <c r="C117" s="2" t="n"/>
      <c r="D117" s="2" t="n"/>
      <c r="E117" s="2" t="n"/>
      <c r="F117" s="2" t="n"/>
      <c r="G117" s="2" t="n"/>
      <c r="H117" s="2" t="n"/>
      <c r="I117" s="2" t="n"/>
      <c r="J117" s="3" t="n"/>
      <c r="K117" s="4">
        <f>IF($B117="","",IF($J117&lt;&gt;"",$J117-$B117,TODAY()-$B117))</f>
        <v/>
      </c>
    </row>
    <row r="118">
      <c r="A118" s="2" t="n"/>
      <c r="B118" s="3" t="n"/>
      <c r="C118" s="2" t="n"/>
      <c r="D118" s="2" t="n"/>
      <c r="E118" s="2" t="n"/>
      <c r="F118" s="2" t="n"/>
      <c r="G118" s="2" t="n"/>
      <c r="H118" s="2" t="n"/>
      <c r="I118" s="2" t="n"/>
      <c r="J118" s="3" t="n"/>
      <c r="K118" s="4">
        <f>IF($B118="","",IF($J118&lt;&gt;"",$J118-$B118,TODAY()-$B118))</f>
        <v/>
      </c>
    </row>
    <row r="119">
      <c r="A119" s="2" t="n"/>
      <c r="B119" s="3" t="n"/>
      <c r="C119" s="2" t="n"/>
      <c r="D119" s="2" t="n"/>
      <c r="E119" s="2" t="n"/>
      <c r="F119" s="2" t="n"/>
      <c r="G119" s="2" t="n"/>
      <c r="H119" s="2" t="n"/>
      <c r="I119" s="2" t="n"/>
      <c r="J119" s="3" t="n"/>
      <c r="K119" s="4">
        <f>IF($B119="","",IF($J119&lt;&gt;"",$J119-$B119,TODAY()-$B119))</f>
        <v/>
      </c>
    </row>
    <row r="120">
      <c r="A120" s="2" t="n"/>
      <c r="B120" s="3" t="n"/>
      <c r="C120" s="2" t="n"/>
      <c r="D120" s="2" t="n"/>
      <c r="E120" s="2" t="n"/>
      <c r="F120" s="2" t="n"/>
      <c r="G120" s="2" t="n"/>
      <c r="H120" s="2" t="n"/>
      <c r="I120" s="2" t="n"/>
      <c r="J120" s="3" t="n"/>
      <c r="K120" s="4">
        <f>IF($B120="","",IF($J120&lt;&gt;"",$J120-$B120,TODAY()-$B120))</f>
        <v/>
      </c>
    </row>
    <row r="121">
      <c r="A121" s="2" t="n"/>
      <c r="B121" s="3" t="n"/>
      <c r="C121" s="2" t="n"/>
      <c r="D121" s="2" t="n"/>
      <c r="E121" s="2" t="n"/>
      <c r="F121" s="2" t="n"/>
      <c r="G121" s="2" t="n"/>
      <c r="H121" s="2" t="n"/>
      <c r="I121" s="2" t="n"/>
      <c r="J121" s="3" t="n"/>
      <c r="K121" s="4">
        <f>IF($B121="","",IF($J121&lt;&gt;"",$J121-$B121,TODAY()-$B121))</f>
        <v/>
      </c>
    </row>
    <row r="122">
      <c r="A122" s="2" t="n"/>
      <c r="B122" s="3" t="n"/>
      <c r="C122" s="2" t="n"/>
      <c r="D122" s="2" t="n"/>
      <c r="E122" s="2" t="n"/>
      <c r="F122" s="2" t="n"/>
      <c r="G122" s="2" t="n"/>
      <c r="H122" s="2" t="n"/>
      <c r="I122" s="2" t="n"/>
      <c r="J122" s="3" t="n"/>
      <c r="K122" s="4">
        <f>IF($B122="","",IF($J122&lt;&gt;"",$J122-$B122,TODAY()-$B122))</f>
        <v/>
      </c>
    </row>
    <row r="123">
      <c r="A123" s="2" t="n"/>
      <c r="B123" s="3" t="n"/>
      <c r="C123" s="2" t="n"/>
      <c r="D123" s="2" t="n"/>
      <c r="E123" s="2" t="n"/>
      <c r="F123" s="2" t="n"/>
      <c r="G123" s="2" t="n"/>
      <c r="H123" s="2" t="n"/>
      <c r="I123" s="2" t="n"/>
      <c r="J123" s="3" t="n"/>
      <c r="K123" s="4">
        <f>IF($B123="","",IF($J123&lt;&gt;"",$J123-$B123,TODAY()-$B123))</f>
        <v/>
      </c>
    </row>
    <row r="124">
      <c r="A124" s="2" t="n"/>
      <c r="B124" s="3" t="n"/>
      <c r="C124" s="2" t="n"/>
      <c r="D124" s="2" t="n"/>
      <c r="E124" s="2" t="n"/>
      <c r="F124" s="2" t="n"/>
      <c r="G124" s="2" t="n"/>
      <c r="H124" s="2" t="n"/>
      <c r="I124" s="2" t="n"/>
      <c r="J124" s="3" t="n"/>
      <c r="K124" s="4">
        <f>IF($B124="","",IF($J124&lt;&gt;"",$J124-$B124,TODAY()-$B124))</f>
        <v/>
      </c>
    </row>
    <row r="125">
      <c r="A125" s="2" t="n"/>
      <c r="B125" s="3" t="n"/>
      <c r="C125" s="2" t="n"/>
      <c r="D125" s="2" t="n"/>
      <c r="E125" s="2" t="n"/>
      <c r="F125" s="2" t="n"/>
      <c r="G125" s="2" t="n"/>
      <c r="H125" s="2" t="n"/>
      <c r="I125" s="2" t="n"/>
      <c r="J125" s="3" t="n"/>
      <c r="K125" s="4">
        <f>IF($B125="","",IF($J125&lt;&gt;"",$J125-$B125,TODAY()-$B125))</f>
        <v/>
      </c>
    </row>
    <row r="126">
      <c r="A126" s="2" t="n"/>
      <c r="B126" s="3" t="n"/>
      <c r="C126" s="2" t="n"/>
      <c r="D126" s="2" t="n"/>
      <c r="E126" s="2" t="n"/>
      <c r="F126" s="2" t="n"/>
      <c r="G126" s="2" t="n"/>
      <c r="H126" s="2" t="n"/>
      <c r="I126" s="2" t="n"/>
      <c r="J126" s="3" t="n"/>
      <c r="K126" s="4">
        <f>IF($B126="","",IF($J126&lt;&gt;"",$J126-$B126,TODAY()-$B126))</f>
        <v/>
      </c>
    </row>
    <row r="127">
      <c r="A127" s="2" t="n"/>
      <c r="B127" s="3" t="n"/>
      <c r="C127" s="2" t="n"/>
      <c r="D127" s="2" t="n"/>
      <c r="E127" s="2" t="n"/>
      <c r="F127" s="2" t="n"/>
      <c r="G127" s="2" t="n"/>
      <c r="H127" s="2" t="n"/>
      <c r="I127" s="2" t="n"/>
      <c r="J127" s="3" t="n"/>
      <c r="K127" s="4">
        <f>IF($B127="","",IF($J127&lt;&gt;"",$J127-$B127,TODAY()-$B127))</f>
        <v/>
      </c>
    </row>
    <row r="128">
      <c r="A128" s="2" t="n"/>
      <c r="B128" s="3" t="n"/>
      <c r="C128" s="2" t="n"/>
      <c r="D128" s="2" t="n"/>
      <c r="E128" s="2" t="n"/>
      <c r="F128" s="2" t="n"/>
      <c r="G128" s="2" t="n"/>
      <c r="H128" s="2" t="n"/>
      <c r="I128" s="2" t="n"/>
      <c r="J128" s="3" t="n"/>
      <c r="K128" s="4">
        <f>IF($B128="","",IF($J128&lt;&gt;"",$J128-$B128,TODAY()-$B128))</f>
        <v/>
      </c>
    </row>
    <row r="129">
      <c r="A129" s="2" t="n"/>
      <c r="B129" s="3" t="n"/>
      <c r="C129" s="2" t="n"/>
      <c r="D129" s="2" t="n"/>
      <c r="E129" s="2" t="n"/>
      <c r="F129" s="2" t="n"/>
      <c r="G129" s="2" t="n"/>
      <c r="H129" s="2" t="n"/>
      <c r="I129" s="2" t="n"/>
      <c r="J129" s="3" t="n"/>
      <c r="K129" s="4">
        <f>IF($B129="","",IF($J129&lt;&gt;"",$J129-$B129,TODAY()-$B129))</f>
        <v/>
      </c>
    </row>
    <row r="130">
      <c r="A130" s="2" t="n"/>
      <c r="B130" s="3" t="n"/>
      <c r="C130" s="2" t="n"/>
      <c r="D130" s="2" t="n"/>
      <c r="E130" s="2" t="n"/>
      <c r="F130" s="2" t="n"/>
      <c r="G130" s="2" t="n"/>
      <c r="H130" s="2" t="n"/>
      <c r="I130" s="2" t="n"/>
      <c r="J130" s="3" t="n"/>
      <c r="K130" s="4">
        <f>IF($B130="","",IF($J130&lt;&gt;"",$J130-$B130,TODAY()-$B130))</f>
        <v/>
      </c>
    </row>
    <row r="131">
      <c r="A131" s="2" t="n"/>
      <c r="B131" s="3" t="n"/>
      <c r="C131" s="2" t="n"/>
      <c r="D131" s="2" t="n"/>
      <c r="E131" s="2" t="n"/>
      <c r="F131" s="2" t="n"/>
      <c r="G131" s="2" t="n"/>
      <c r="H131" s="2" t="n"/>
      <c r="I131" s="2" t="n"/>
      <c r="J131" s="3" t="n"/>
      <c r="K131" s="4">
        <f>IF($B131="","",IF($J131&lt;&gt;"",$J131-$B131,TODAY()-$B131))</f>
        <v/>
      </c>
    </row>
    <row r="132">
      <c r="A132" s="2" t="n"/>
      <c r="B132" s="3" t="n"/>
      <c r="C132" s="2" t="n"/>
      <c r="D132" s="2" t="n"/>
      <c r="E132" s="2" t="n"/>
      <c r="F132" s="2" t="n"/>
      <c r="G132" s="2" t="n"/>
      <c r="H132" s="2" t="n"/>
      <c r="I132" s="2" t="n"/>
      <c r="J132" s="3" t="n"/>
      <c r="K132" s="4">
        <f>IF($B132="","",IF($J132&lt;&gt;"",$J132-$B132,TODAY()-$B132))</f>
        <v/>
      </c>
    </row>
    <row r="133">
      <c r="A133" s="2" t="n"/>
      <c r="B133" s="3" t="n"/>
      <c r="C133" s="2" t="n"/>
      <c r="D133" s="2" t="n"/>
      <c r="E133" s="2" t="n"/>
      <c r="F133" s="2" t="n"/>
      <c r="G133" s="2" t="n"/>
      <c r="H133" s="2" t="n"/>
      <c r="I133" s="2" t="n"/>
      <c r="J133" s="3" t="n"/>
      <c r="K133" s="4">
        <f>IF($B133="","",IF($J133&lt;&gt;"",$J133-$B133,TODAY()-$B133))</f>
        <v/>
      </c>
    </row>
    <row r="134">
      <c r="A134" s="2" t="n"/>
      <c r="B134" s="3" t="n"/>
      <c r="C134" s="2" t="n"/>
      <c r="D134" s="2" t="n"/>
      <c r="E134" s="2" t="n"/>
      <c r="F134" s="2" t="n"/>
      <c r="G134" s="2" t="n"/>
      <c r="H134" s="2" t="n"/>
      <c r="I134" s="2" t="n"/>
      <c r="J134" s="3" t="n"/>
      <c r="K134" s="4">
        <f>IF($B134="","",IF($J134&lt;&gt;"",$J134-$B134,TODAY()-$B134))</f>
        <v/>
      </c>
    </row>
    <row r="135">
      <c r="A135" s="2" t="n"/>
      <c r="B135" s="3" t="n"/>
      <c r="C135" s="2" t="n"/>
      <c r="D135" s="2" t="n"/>
      <c r="E135" s="2" t="n"/>
      <c r="F135" s="2" t="n"/>
      <c r="G135" s="2" t="n"/>
      <c r="H135" s="2" t="n"/>
      <c r="I135" s="2" t="n"/>
      <c r="J135" s="3" t="n"/>
      <c r="K135" s="4">
        <f>IF($B135="","",IF($J135&lt;&gt;"",$J135-$B135,TODAY()-$B135))</f>
        <v/>
      </c>
    </row>
    <row r="136">
      <c r="A136" s="2" t="n"/>
      <c r="B136" s="3" t="n"/>
      <c r="C136" s="2" t="n"/>
      <c r="D136" s="2" t="n"/>
      <c r="E136" s="2" t="n"/>
      <c r="F136" s="2" t="n"/>
      <c r="G136" s="2" t="n"/>
      <c r="H136" s="2" t="n"/>
      <c r="I136" s="2" t="n"/>
      <c r="J136" s="3" t="n"/>
      <c r="K136" s="4">
        <f>IF($B136="","",IF($J136&lt;&gt;"",$J136-$B136,TODAY()-$B136))</f>
        <v/>
      </c>
    </row>
    <row r="137">
      <c r="A137" s="2" t="n"/>
      <c r="B137" s="3" t="n"/>
      <c r="C137" s="2" t="n"/>
      <c r="D137" s="2" t="n"/>
      <c r="E137" s="2" t="n"/>
      <c r="F137" s="2" t="n"/>
      <c r="G137" s="2" t="n"/>
      <c r="H137" s="2" t="n"/>
      <c r="I137" s="2" t="n"/>
      <c r="J137" s="3" t="n"/>
      <c r="K137" s="4">
        <f>IF($B137="","",IF($J137&lt;&gt;"",$J137-$B137,TODAY()-$B137))</f>
        <v/>
      </c>
    </row>
    <row r="138">
      <c r="A138" s="2" t="n"/>
      <c r="B138" s="3" t="n"/>
      <c r="C138" s="2" t="n"/>
      <c r="D138" s="2" t="n"/>
      <c r="E138" s="2" t="n"/>
      <c r="F138" s="2" t="n"/>
      <c r="G138" s="2" t="n"/>
      <c r="H138" s="2" t="n"/>
      <c r="I138" s="2" t="n"/>
      <c r="J138" s="3" t="n"/>
      <c r="K138" s="4">
        <f>IF($B138="","",IF($J138&lt;&gt;"",$J138-$B138,TODAY()-$B138))</f>
        <v/>
      </c>
    </row>
    <row r="139">
      <c r="A139" s="2" t="n"/>
      <c r="B139" s="3" t="n"/>
      <c r="C139" s="2" t="n"/>
      <c r="D139" s="2" t="n"/>
      <c r="E139" s="2" t="n"/>
      <c r="F139" s="2" t="n"/>
      <c r="G139" s="2" t="n"/>
      <c r="H139" s="2" t="n"/>
      <c r="I139" s="2" t="n"/>
      <c r="J139" s="3" t="n"/>
      <c r="K139" s="4">
        <f>IF($B139="","",IF($J139&lt;&gt;"",$J139-$B139,TODAY()-$B139))</f>
        <v/>
      </c>
    </row>
    <row r="140">
      <c r="A140" s="2" t="n"/>
      <c r="B140" s="3" t="n"/>
      <c r="C140" s="2" t="n"/>
      <c r="D140" s="2" t="n"/>
      <c r="E140" s="2" t="n"/>
      <c r="F140" s="2" t="n"/>
      <c r="G140" s="2" t="n"/>
      <c r="H140" s="2" t="n"/>
      <c r="I140" s="2" t="n"/>
      <c r="J140" s="3" t="n"/>
      <c r="K140" s="4">
        <f>IF($B140="","",IF($J140&lt;&gt;"",$J140-$B140,TODAY()-$B140))</f>
        <v/>
      </c>
    </row>
    <row r="141">
      <c r="A141" s="2" t="n"/>
      <c r="B141" s="3" t="n"/>
      <c r="C141" s="2" t="n"/>
      <c r="D141" s="2" t="n"/>
      <c r="E141" s="2" t="n"/>
      <c r="F141" s="2" t="n"/>
      <c r="G141" s="2" t="n"/>
      <c r="H141" s="2" t="n"/>
      <c r="I141" s="2" t="n"/>
      <c r="J141" s="3" t="n"/>
      <c r="K141" s="4">
        <f>IF($B141="","",IF($J141&lt;&gt;"",$J141-$B141,TODAY()-$B141))</f>
        <v/>
      </c>
    </row>
    <row r="142">
      <c r="A142" s="2" t="n"/>
      <c r="B142" s="3" t="n"/>
      <c r="C142" s="2" t="n"/>
      <c r="D142" s="2" t="n"/>
      <c r="E142" s="2" t="n"/>
      <c r="F142" s="2" t="n"/>
      <c r="G142" s="2" t="n"/>
      <c r="H142" s="2" t="n"/>
      <c r="I142" s="2" t="n"/>
      <c r="J142" s="3" t="n"/>
      <c r="K142" s="4">
        <f>IF($B142="","",IF($J142&lt;&gt;"",$J142-$B142,TODAY()-$B142))</f>
        <v/>
      </c>
    </row>
    <row r="143">
      <c r="A143" s="2" t="n"/>
      <c r="B143" s="3" t="n"/>
      <c r="C143" s="2" t="n"/>
      <c r="D143" s="2" t="n"/>
      <c r="E143" s="2" t="n"/>
      <c r="F143" s="2" t="n"/>
      <c r="G143" s="2" t="n"/>
      <c r="H143" s="2" t="n"/>
      <c r="I143" s="2" t="n"/>
      <c r="J143" s="3" t="n"/>
      <c r="K143" s="4">
        <f>IF($B143="","",IF($J143&lt;&gt;"",$J143-$B143,TODAY()-$B143))</f>
        <v/>
      </c>
    </row>
    <row r="144">
      <c r="A144" s="2" t="n"/>
      <c r="B144" s="3" t="n"/>
      <c r="C144" s="2" t="n"/>
      <c r="D144" s="2" t="n"/>
      <c r="E144" s="2" t="n"/>
      <c r="F144" s="2" t="n"/>
      <c r="G144" s="2" t="n"/>
      <c r="H144" s="2" t="n"/>
      <c r="I144" s="2" t="n"/>
      <c r="J144" s="3" t="n"/>
      <c r="K144" s="4">
        <f>IF($B144="","",IF($J144&lt;&gt;"",$J144-$B144,TODAY()-$B144))</f>
        <v/>
      </c>
    </row>
    <row r="145">
      <c r="A145" s="2" t="n"/>
      <c r="B145" s="3" t="n"/>
      <c r="C145" s="2" t="n"/>
      <c r="D145" s="2" t="n"/>
      <c r="E145" s="2" t="n"/>
      <c r="F145" s="2" t="n"/>
      <c r="G145" s="2" t="n"/>
      <c r="H145" s="2" t="n"/>
      <c r="I145" s="2" t="n"/>
      <c r="J145" s="3" t="n"/>
      <c r="K145" s="4">
        <f>IF($B145="","",IF($J145&lt;&gt;"",$J145-$B145,TODAY()-$B145))</f>
        <v/>
      </c>
    </row>
    <row r="146">
      <c r="A146" s="2" t="n"/>
      <c r="B146" s="3" t="n"/>
      <c r="C146" s="2" t="n"/>
      <c r="D146" s="2" t="n"/>
      <c r="E146" s="2" t="n"/>
      <c r="F146" s="2" t="n"/>
      <c r="G146" s="2" t="n"/>
      <c r="H146" s="2" t="n"/>
      <c r="I146" s="2" t="n"/>
      <c r="J146" s="3" t="n"/>
      <c r="K146" s="4">
        <f>IF($B146="","",IF($J146&lt;&gt;"",$J146-$B146,TODAY()-$B146))</f>
        <v/>
      </c>
    </row>
    <row r="147">
      <c r="A147" s="2" t="n"/>
      <c r="B147" s="3" t="n"/>
      <c r="C147" s="2" t="n"/>
      <c r="D147" s="2" t="n"/>
      <c r="E147" s="2" t="n"/>
      <c r="F147" s="2" t="n"/>
      <c r="G147" s="2" t="n"/>
      <c r="H147" s="2" t="n"/>
      <c r="I147" s="2" t="n"/>
      <c r="J147" s="3" t="n"/>
      <c r="K147" s="4">
        <f>IF($B147="","",IF($J147&lt;&gt;"",$J147-$B147,TODAY()-$B147))</f>
        <v/>
      </c>
    </row>
    <row r="148">
      <c r="A148" s="2" t="n"/>
      <c r="B148" s="3" t="n"/>
      <c r="C148" s="2" t="n"/>
      <c r="D148" s="2" t="n"/>
      <c r="E148" s="2" t="n"/>
      <c r="F148" s="2" t="n"/>
      <c r="G148" s="2" t="n"/>
      <c r="H148" s="2" t="n"/>
      <c r="I148" s="2" t="n"/>
      <c r="J148" s="3" t="n"/>
      <c r="K148" s="4">
        <f>IF($B148="","",IF($J148&lt;&gt;"",$J148-$B148,TODAY()-$B148))</f>
        <v/>
      </c>
    </row>
    <row r="149">
      <c r="A149" s="2" t="n"/>
      <c r="B149" s="3" t="n"/>
      <c r="C149" s="2" t="n"/>
      <c r="D149" s="2" t="n"/>
      <c r="E149" s="2" t="n"/>
      <c r="F149" s="2" t="n"/>
      <c r="G149" s="2" t="n"/>
      <c r="H149" s="2" t="n"/>
      <c r="I149" s="2" t="n"/>
      <c r="J149" s="3" t="n"/>
      <c r="K149" s="4">
        <f>IF($B149="","",IF($J149&lt;&gt;"",$J149-$B149,TODAY()-$B149))</f>
        <v/>
      </c>
    </row>
    <row r="150">
      <c r="A150" s="2" t="n"/>
      <c r="B150" s="3" t="n"/>
      <c r="C150" s="2" t="n"/>
      <c r="D150" s="2" t="n"/>
      <c r="E150" s="2" t="n"/>
      <c r="F150" s="2" t="n"/>
      <c r="G150" s="2" t="n"/>
      <c r="H150" s="2" t="n"/>
      <c r="I150" s="2" t="n"/>
      <c r="J150" s="3" t="n"/>
      <c r="K150" s="4">
        <f>IF($B150="","",IF($J150&lt;&gt;"",$J150-$B150,TODAY()-$B150))</f>
        <v/>
      </c>
    </row>
    <row r="151">
      <c r="A151" s="2" t="n"/>
      <c r="B151" s="3" t="n"/>
      <c r="C151" s="2" t="n"/>
      <c r="D151" s="2" t="n"/>
      <c r="E151" s="2" t="n"/>
      <c r="F151" s="2" t="n"/>
      <c r="G151" s="2" t="n"/>
      <c r="H151" s="2" t="n"/>
      <c r="I151" s="2" t="n"/>
      <c r="J151" s="3" t="n"/>
      <c r="K151" s="4">
        <f>IF($B151="","",IF($J151&lt;&gt;"",$J151-$B151,TODAY()-$B151))</f>
        <v/>
      </c>
    </row>
    <row r="152">
      <c r="A152" s="2" t="n"/>
      <c r="B152" s="3" t="n"/>
      <c r="C152" s="2" t="n"/>
      <c r="D152" s="2" t="n"/>
      <c r="E152" s="2" t="n"/>
      <c r="F152" s="2" t="n"/>
      <c r="G152" s="2" t="n"/>
      <c r="H152" s="2" t="n"/>
      <c r="I152" s="2" t="n"/>
      <c r="J152" s="3" t="n"/>
      <c r="K152" s="4">
        <f>IF($B152="","",IF($J152&lt;&gt;"",$J152-$B152,TODAY()-$B152))</f>
        <v/>
      </c>
    </row>
    <row r="153">
      <c r="A153" s="2" t="n"/>
      <c r="B153" s="3" t="n"/>
      <c r="C153" s="2" t="n"/>
      <c r="D153" s="2" t="n"/>
      <c r="E153" s="2" t="n"/>
      <c r="F153" s="2" t="n"/>
      <c r="G153" s="2" t="n"/>
      <c r="H153" s="2" t="n"/>
      <c r="I153" s="2" t="n"/>
      <c r="J153" s="3" t="n"/>
      <c r="K153" s="4">
        <f>IF($B153="","",IF($J153&lt;&gt;"",$J153-$B153,TODAY()-$B153))</f>
        <v/>
      </c>
    </row>
    <row r="154">
      <c r="A154" s="2" t="n"/>
      <c r="B154" s="3" t="n"/>
      <c r="C154" s="2" t="n"/>
      <c r="D154" s="2" t="n"/>
      <c r="E154" s="2" t="n"/>
      <c r="F154" s="2" t="n"/>
      <c r="G154" s="2" t="n"/>
      <c r="H154" s="2" t="n"/>
      <c r="I154" s="2" t="n"/>
      <c r="J154" s="3" t="n"/>
      <c r="K154" s="4">
        <f>IF($B154="","",IF($J154&lt;&gt;"",$J154-$B154,TODAY()-$B154))</f>
        <v/>
      </c>
    </row>
    <row r="155">
      <c r="A155" s="2" t="n"/>
      <c r="B155" s="3" t="n"/>
      <c r="C155" s="2" t="n"/>
      <c r="D155" s="2" t="n"/>
      <c r="E155" s="2" t="n"/>
      <c r="F155" s="2" t="n"/>
      <c r="G155" s="2" t="n"/>
      <c r="H155" s="2" t="n"/>
      <c r="I155" s="2" t="n"/>
      <c r="J155" s="3" t="n"/>
      <c r="K155" s="4">
        <f>IF($B155="","",IF($J155&lt;&gt;"",$J155-$B155,TODAY()-$B155))</f>
        <v/>
      </c>
    </row>
    <row r="156">
      <c r="A156" s="2" t="n"/>
      <c r="B156" s="3" t="n"/>
      <c r="C156" s="2" t="n"/>
      <c r="D156" s="2" t="n"/>
      <c r="E156" s="2" t="n"/>
      <c r="F156" s="2" t="n"/>
      <c r="G156" s="2" t="n"/>
      <c r="H156" s="2" t="n"/>
      <c r="I156" s="2" t="n"/>
      <c r="J156" s="3" t="n"/>
      <c r="K156" s="4">
        <f>IF($B156="","",IF($J156&lt;&gt;"",$J156-$B156,TODAY()-$B156))</f>
        <v/>
      </c>
    </row>
    <row r="157">
      <c r="A157" s="2" t="n"/>
      <c r="B157" s="3" t="n"/>
      <c r="C157" s="2" t="n"/>
      <c r="D157" s="2" t="n"/>
      <c r="E157" s="2" t="n"/>
      <c r="F157" s="2" t="n"/>
      <c r="G157" s="2" t="n"/>
      <c r="H157" s="2" t="n"/>
      <c r="I157" s="2" t="n"/>
      <c r="J157" s="3" t="n"/>
      <c r="K157" s="4">
        <f>IF($B157="","",IF($J157&lt;&gt;"",$J157-$B157,TODAY()-$B157))</f>
        <v/>
      </c>
    </row>
    <row r="158">
      <c r="A158" s="2" t="n"/>
      <c r="B158" s="3" t="n"/>
      <c r="C158" s="2" t="n"/>
      <c r="D158" s="2" t="n"/>
      <c r="E158" s="2" t="n"/>
      <c r="F158" s="2" t="n"/>
      <c r="G158" s="2" t="n"/>
      <c r="H158" s="2" t="n"/>
      <c r="I158" s="2" t="n"/>
      <c r="J158" s="3" t="n"/>
      <c r="K158" s="4">
        <f>IF($B158="","",IF($J158&lt;&gt;"",$J158-$B158,TODAY()-$B158))</f>
        <v/>
      </c>
    </row>
    <row r="159">
      <c r="A159" s="2" t="n"/>
      <c r="B159" s="3" t="n"/>
      <c r="C159" s="2" t="n"/>
      <c r="D159" s="2" t="n"/>
      <c r="E159" s="2" t="n"/>
      <c r="F159" s="2" t="n"/>
      <c r="G159" s="2" t="n"/>
      <c r="H159" s="2" t="n"/>
      <c r="I159" s="2" t="n"/>
      <c r="J159" s="3" t="n"/>
      <c r="K159" s="4">
        <f>IF($B159="","",IF($J159&lt;&gt;"",$J159-$B159,TODAY()-$B159))</f>
        <v/>
      </c>
    </row>
    <row r="160">
      <c r="A160" s="2" t="n"/>
      <c r="B160" s="3" t="n"/>
      <c r="C160" s="2" t="n"/>
      <c r="D160" s="2" t="n"/>
      <c r="E160" s="2" t="n"/>
      <c r="F160" s="2" t="n"/>
      <c r="G160" s="2" t="n"/>
      <c r="H160" s="2" t="n"/>
      <c r="I160" s="2" t="n"/>
      <c r="J160" s="3" t="n"/>
      <c r="K160" s="4">
        <f>IF($B160="","",IF($J160&lt;&gt;"",$J160-$B160,TODAY()-$B160))</f>
        <v/>
      </c>
    </row>
    <row r="161">
      <c r="A161" s="2" t="n"/>
      <c r="B161" s="3" t="n"/>
      <c r="C161" s="2" t="n"/>
      <c r="D161" s="2" t="n"/>
      <c r="E161" s="2" t="n"/>
      <c r="F161" s="2" t="n"/>
      <c r="G161" s="2" t="n"/>
      <c r="H161" s="2" t="n"/>
      <c r="I161" s="2" t="n"/>
      <c r="J161" s="3" t="n"/>
      <c r="K161" s="4">
        <f>IF($B161="","",IF($J161&lt;&gt;"",$J161-$B161,TODAY()-$B161))</f>
        <v/>
      </c>
    </row>
    <row r="162">
      <c r="A162" s="2" t="n"/>
      <c r="B162" s="3" t="n"/>
      <c r="C162" s="2" t="n"/>
      <c r="D162" s="2" t="n"/>
      <c r="E162" s="2" t="n"/>
      <c r="F162" s="2" t="n"/>
      <c r="G162" s="2" t="n"/>
      <c r="H162" s="2" t="n"/>
      <c r="I162" s="2" t="n"/>
      <c r="J162" s="3" t="n"/>
      <c r="K162" s="4">
        <f>IF($B162="","",IF($J162&lt;&gt;"",$J162-$B162,TODAY()-$B162))</f>
        <v/>
      </c>
    </row>
    <row r="163">
      <c r="A163" s="2" t="n"/>
      <c r="B163" s="3" t="n"/>
      <c r="C163" s="2" t="n"/>
      <c r="D163" s="2" t="n"/>
      <c r="E163" s="2" t="n"/>
      <c r="F163" s="2" t="n"/>
      <c r="G163" s="2" t="n"/>
      <c r="H163" s="2" t="n"/>
      <c r="I163" s="2" t="n"/>
      <c r="J163" s="3" t="n"/>
      <c r="K163" s="4">
        <f>IF($B163="","",IF($J163&lt;&gt;"",$J163-$B163,TODAY()-$B163))</f>
        <v/>
      </c>
    </row>
    <row r="164">
      <c r="A164" s="2" t="n"/>
      <c r="B164" s="3" t="n"/>
      <c r="C164" s="2" t="n"/>
      <c r="D164" s="2" t="n"/>
      <c r="E164" s="2" t="n"/>
      <c r="F164" s="2" t="n"/>
      <c r="G164" s="2" t="n"/>
      <c r="H164" s="2" t="n"/>
      <c r="I164" s="2" t="n"/>
      <c r="J164" s="3" t="n"/>
      <c r="K164" s="4">
        <f>IF($B164="","",IF($J164&lt;&gt;"",$J164-$B164,TODAY()-$B164))</f>
        <v/>
      </c>
    </row>
    <row r="165">
      <c r="A165" s="2" t="n"/>
      <c r="B165" s="3" t="n"/>
      <c r="C165" s="2" t="n"/>
      <c r="D165" s="2" t="n"/>
      <c r="E165" s="2" t="n"/>
      <c r="F165" s="2" t="n"/>
      <c r="G165" s="2" t="n"/>
      <c r="H165" s="2" t="n"/>
      <c r="I165" s="2" t="n"/>
      <c r="J165" s="3" t="n"/>
      <c r="K165" s="4">
        <f>IF($B165="","",IF($J165&lt;&gt;"",$J165-$B165,TODAY()-$B165))</f>
        <v/>
      </c>
    </row>
    <row r="166">
      <c r="A166" s="2" t="n"/>
      <c r="B166" s="3" t="n"/>
      <c r="C166" s="2" t="n"/>
      <c r="D166" s="2" t="n"/>
      <c r="E166" s="2" t="n"/>
      <c r="F166" s="2" t="n"/>
      <c r="G166" s="2" t="n"/>
      <c r="H166" s="2" t="n"/>
      <c r="I166" s="2" t="n"/>
      <c r="J166" s="3" t="n"/>
      <c r="K166" s="4">
        <f>IF($B166="","",IF($J166&lt;&gt;"",$J166-$B166,TODAY()-$B166))</f>
        <v/>
      </c>
    </row>
    <row r="167">
      <c r="A167" s="2" t="n"/>
      <c r="B167" s="3" t="n"/>
      <c r="C167" s="2" t="n"/>
      <c r="D167" s="2" t="n"/>
      <c r="E167" s="2" t="n"/>
      <c r="F167" s="2" t="n"/>
      <c r="G167" s="2" t="n"/>
      <c r="H167" s="2" t="n"/>
      <c r="I167" s="2" t="n"/>
      <c r="J167" s="3" t="n"/>
      <c r="K167" s="4">
        <f>IF($B167="","",IF($J167&lt;&gt;"",$J167-$B167,TODAY()-$B167))</f>
        <v/>
      </c>
    </row>
    <row r="168">
      <c r="A168" s="2" t="n"/>
      <c r="B168" s="3" t="n"/>
      <c r="C168" s="2" t="n"/>
      <c r="D168" s="2" t="n"/>
      <c r="E168" s="2" t="n"/>
      <c r="F168" s="2" t="n"/>
      <c r="G168" s="2" t="n"/>
      <c r="H168" s="2" t="n"/>
      <c r="I168" s="2" t="n"/>
      <c r="J168" s="3" t="n"/>
      <c r="K168" s="4">
        <f>IF($B168="","",IF($J168&lt;&gt;"",$J168-$B168,TODAY()-$B168))</f>
        <v/>
      </c>
    </row>
    <row r="169">
      <c r="A169" s="2" t="n"/>
      <c r="B169" s="3" t="n"/>
      <c r="C169" s="2" t="n"/>
      <c r="D169" s="2" t="n"/>
      <c r="E169" s="2" t="n"/>
      <c r="F169" s="2" t="n"/>
      <c r="G169" s="2" t="n"/>
      <c r="H169" s="2" t="n"/>
      <c r="I169" s="2" t="n"/>
      <c r="J169" s="3" t="n"/>
      <c r="K169" s="4">
        <f>IF($B169="","",IF($J169&lt;&gt;"",$J169-$B169,TODAY()-$B169))</f>
        <v/>
      </c>
    </row>
    <row r="170">
      <c r="A170" s="2" t="n"/>
      <c r="B170" s="3" t="n"/>
      <c r="C170" s="2" t="n"/>
      <c r="D170" s="2" t="n"/>
      <c r="E170" s="2" t="n"/>
      <c r="F170" s="2" t="n"/>
      <c r="G170" s="2" t="n"/>
      <c r="H170" s="2" t="n"/>
      <c r="I170" s="2" t="n"/>
      <c r="J170" s="3" t="n"/>
      <c r="K170" s="4">
        <f>IF($B170="","",IF($J170&lt;&gt;"",$J170-$B170,TODAY()-$B170))</f>
        <v/>
      </c>
    </row>
    <row r="171">
      <c r="A171" s="2" t="n"/>
      <c r="B171" s="3" t="n"/>
      <c r="C171" s="2" t="n"/>
      <c r="D171" s="2" t="n"/>
      <c r="E171" s="2" t="n"/>
      <c r="F171" s="2" t="n"/>
      <c r="G171" s="2" t="n"/>
      <c r="H171" s="2" t="n"/>
      <c r="I171" s="2" t="n"/>
      <c r="J171" s="3" t="n"/>
      <c r="K171" s="4">
        <f>IF($B171="","",IF($J171&lt;&gt;"",$J171-$B171,TODAY()-$B171))</f>
        <v/>
      </c>
    </row>
    <row r="172">
      <c r="A172" s="2" t="n"/>
      <c r="B172" s="3" t="n"/>
      <c r="C172" s="2" t="n"/>
      <c r="D172" s="2" t="n"/>
      <c r="E172" s="2" t="n"/>
      <c r="F172" s="2" t="n"/>
      <c r="G172" s="2" t="n"/>
      <c r="H172" s="2" t="n"/>
      <c r="I172" s="2" t="n"/>
      <c r="J172" s="3" t="n"/>
      <c r="K172" s="4">
        <f>IF($B172="","",IF($J172&lt;&gt;"",$J172-$B172,TODAY()-$B172))</f>
        <v/>
      </c>
    </row>
    <row r="173">
      <c r="A173" s="2" t="n"/>
      <c r="B173" s="3" t="n"/>
      <c r="C173" s="2" t="n"/>
      <c r="D173" s="2" t="n"/>
      <c r="E173" s="2" t="n"/>
      <c r="F173" s="2" t="n"/>
      <c r="G173" s="2" t="n"/>
      <c r="H173" s="2" t="n"/>
      <c r="I173" s="2" t="n"/>
      <c r="J173" s="3" t="n"/>
      <c r="K173" s="4">
        <f>IF($B173="","",IF($J173&lt;&gt;"",$J173-$B173,TODAY()-$B173))</f>
        <v/>
      </c>
    </row>
    <row r="174">
      <c r="A174" s="2" t="n"/>
      <c r="B174" s="3" t="n"/>
      <c r="C174" s="2" t="n"/>
      <c r="D174" s="2" t="n"/>
      <c r="E174" s="2" t="n"/>
      <c r="F174" s="2" t="n"/>
      <c r="G174" s="2" t="n"/>
      <c r="H174" s="2" t="n"/>
      <c r="I174" s="2" t="n"/>
      <c r="J174" s="3" t="n"/>
      <c r="K174" s="4">
        <f>IF($B174="","",IF($J174&lt;&gt;"",$J174-$B174,TODAY()-$B174))</f>
        <v/>
      </c>
    </row>
    <row r="175">
      <c r="A175" s="2" t="n"/>
      <c r="B175" s="3" t="n"/>
      <c r="C175" s="2" t="n"/>
      <c r="D175" s="2" t="n"/>
      <c r="E175" s="2" t="n"/>
      <c r="F175" s="2" t="n"/>
      <c r="G175" s="2" t="n"/>
      <c r="H175" s="2" t="n"/>
      <c r="I175" s="2" t="n"/>
      <c r="J175" s="3" t="n"/>
      <c r="K175" s="4">
        <f>IF($B175="","",IF($J175&lt;&gt;"",$J175-$B175,TODAY()-$B175))</f>
        <v/>
      </c>
    </row>
    <row r="176">
      <c r="A176" s="2" t="n"/>
      <c r="B176" s="3" t="n"/>
      <c r="C176" s="2" t="n"/>
      <c r="D176" s="2" t="n"/>
      <c r="E176" s="2" t="n"/>
      <c r="F176" s="2" t="n"/>
      <c r="G176" s="2" t="n"/>
      <c r="H176" s="2" t="n"/>
      <c r="I176" s="2" t="n"/>
      <c r="J176" s="3" t="n"/>
      <c r="K176" s="4">
        <f>IF($B176="","",IF($J176&lt;&gt;"",$J176-$B176,TODAY()-$B176))</f>
        <v/>
      </c>
    </row>
    <row r="177">
      <c r="A177" s="2" t="n"/>
      <c r="B177" s="3" t="n"/>
      <c r="C177" s="2" t="n"/>
      <c r="D177" s="2" t="n"/>
      <c r="E177" s="2" t="n"/>
      <c r="F177" s="2" t="n"/>
      <c r="G177" s="2" t="n"/>
      <c r="H177" s="2" t="n"/>
      <c r="I177" s="2" t="n"/>
      <c r="J177" s="3" t="n"/>
      <c r="K177" s="4">
        <f>IF($B177="","",IF($J177&lt;&gt;"",$J177-$B177,TODAY()-$B177))</f>
        <v/>
      </c>
    </row>
    <row r="178">
      <c r="A178" s="2" t="n"/>
      <c r="B178" s="3" t="n"/>
      <c r="C178" s="2" t="n"/>
      <c r="D178" s="2" t="n"/>
      <c r="E178" s="2" t="n"/>
      <c r="F178" s="2" t="n"/>
      <c r="G178" s="2" t="n"/>
      <c r="H178" s="2" t="n"/>
      <c r="I178" s="2" t="n"/>
      <c r="J178" s="3" t="n"/>
      <c r="K178" s="4">
        <f>IF($B178="","",IF($J178&lt;&gt;"",$J178-$B178,TODAY()-$B178))</f>
        <v/>
      </c>
    </row>
    <row r="179">
      <c r="A179" s="2" t="n"/>
      <c r="B179" s="3" t="n"/>
      <c r="C179" s="2" t="n"/>
      <c r="D179" s="2" t="n"/>
      <c r="E179" s="2" t="n"/>
      <c r="F179" s="2" t="n"/>
      <c r="G179" s="2" t="n"/>
      <c r="H179" s="2" t="n"/>
      <c r="I179" s="2" t="n"/>
      <c r="J179" s="3" t="n"/>
      <c r="K179" s="4">
        <f>IF($B179="","",IF($J179&lt;&gt;"",$J179-$B179,TODAY()-$B179))</f>
        <v/>
      </c>
    </row>
    <row r="180">
      <c r="A180" s="2" t="n"/>
      <c r="B180" s="3" t="n"/>
      <c r="C180" s="2" t="n"/>
      <c r="D180" s="2" t="n"/>
      <c r="E180" s="2" t="n"/>
      <c r="F180" s="2" t="n"/>
      <c r="G180" s="2" t="n"/>
      <c r="H180" s="2" t="n"/>
      <c r="I180" s="2" t="n"/>
      <c r="J180" s="3" t="n"/>
      <c r="K180" s="4">
        <f>IF($B180="","",IF($J180&lt;&gt;"",$J180-$B180,TODAY()-$B180))</f>
        <v/>
      </c>
    </row>
    <row r="181">
      <c r="A181" s="2" t="n"/>
      <c r="B181" s="3" t="n"/>
      <c r="C181" s="2" t="n"/>
      <c r="D181" s="2" t="n"/>
      <c r="E181" s="2" t="n"/>
      <c r="F181" s="2" t="n"/>
      <c r="G181" s="2" t="n"/>
      <c r="H181" s="2" t="n"/>
      <c r="I181" s="2" t="n"/>
      <c r="J181" s="3" t="n"/>
      <c r="K181" s="4">
        <f>IF($B181="","",IF($J181&lt;&gt;"",$J181-$B181,TODAY()-$B181))</f>
        <v/>
      </c>
    </row>
    <row r="182">
      <c r="A182" s="2" t="n"/>
      <c r="B182" s="3" t="n"/>
      <c r="C182" s="2" t="n"/>
      <c r="D182" s="2" t="n"/>
      <c r="E182" s="2" t="n"/>
      <c r="F182" s="2" t="n"/>
      <c r="G182" s="2" t="n"/>
      <c r="H182" s="2" t="n"/>
      <c r="I182" s="2" t="n"/>
      <c r="J182" s="3" t="n"/>
      <c r="K182" s="4">
        <f>IF($B182="","",IF($J182&lt;&gt;"",$J182-$B182,TODAY()-$B182))</f>
        <v/>
      </c>
    </row>
    <row r="183">
      <c r="A183" s="2" t="n"/>
      <c r="B183" s="3" t="n"/>
      <c r="C183" s="2" t="n"/>
      <c r="D183" s="2" t="n"/>
      <c r="E183" s="2" t="n"/>
      <c r="F183" s="2" t="n"/>
      <c r="G183" s="2" t="n"/>
      <c r="H183" s="2" t="n"/>
      <c r="I183" s="2" t="n"/>
      <c r="J183" s="3" t="n"/>
      <c r="K183" s="4">
        <f>IF($B183="","",IF($J183&lt;&gt;"",$J183-$B183,TODAY()-$B183))</f>
        <v/>
      </c>
    </row>
    <row r="184">
      <c r="A184" s="2" t="n"/>
      <c r="B184" s="3" t="n"/>
      <c r="C184" s="2" t="n"/>
      <c r="D184" s="2" t="n"/>
      <c r="E184" s="2" t="n"/>
      <c r="F184" s="2" t="n"/>
      <c r="G184" s="2" t="n"/>
      <c r="H184" s="2" t="n"/>
      <c r="I184" s="2" t="n"/>
      <c r="J184" s="3" t="n"/>
      <c r="K184" s="4">
        <f>IF($B184="","",IF($J184&lt;&gt;"",$J184-$B184,TODAY()-$B184))</f>
        <v/>
      </c>
    </row>
    <row r="185">
      <c r="A185" s="2" t="n"/>
      <c r="B185" s="3" t="n"/>
      <c r="C185" s="2" t="n"/>
      <c r="D185" s="2" t="n"/>
      <c r="E185" s="2" t="n"/>
      <c r="F185" s="2" t="n"/>
      <c r="G185" s="2" t="n"/>
      <c r="H185" s="2" t="n"/>
      <c r="I185" s="2" t="n"/>
      <c r="J185" s="3" t="n"/>
      <c r="K185" s="4">
        <f>IF($B185="","",IF($J185&lt;&gt;"",$J185-$B185,TODAY()-$B185))</f>
        <v/>
      </c>
    </row>
    <row r="186">
      <c r="A186" s="2" t="n"/>
      <c r="B186" s="3" t="n"/>
      <c r="C186" s="2" t="n"/>
      <c r="D186" s="2" t="n"/>
      <c r="E186" s="2" t="n"/>
      <c r="F186" s="2" t="n"/>
      <c r="G186" s="2" t="n"/>
      <c r="H186" s="2" t="n"/>
      <c r="I186" s="2" t="n"/>
      <c r="J186" s="3" t="n"/>
      <c r="K186" s="4">
        <f>IF($B186="","",IF($J186&lt;&gt;"",$J186-$B186,TODAY()-$B186))</f>
        <v/>
      </c>
    </row>
    <row r="187">
      <c r="A187" s="2" t="n"/>
      <c r="B187" s="3" t="n"/>
      <c r="C187" s="2" t="n"/>
      <c r="D187" s="2" t="n"/>
      <c r="E187" s="2" t="n"/>
      <c r="F187" s="2" t="n"/>
      <c r="G187" s="2" t="n"/>
      <c r="H187" s="2" t="n"/>
      <c r="I187" s="2" t="n"/>
      <c r="J187" s="3" t="n"/>
      <c r="K187" s="4">
        <f>IF($B187="","",IF($J187&lt;&gt;"",$J187-$B187,TODAY()-$B187))</f>
        <v/>
      </c>
    </row>
    <row r="188">
      <c r="A188" s="2" t="n"/>
      <c r="B188" s="3" t="n"/>
      <c r="C188" s="2" t="n"/>
      <c r="D188" s="2" t="n"/>
      <c r="E188" s="2" t="n"/>
      <c r="F188" s="2" t="n"/>
      <c r="G188" s="2" t="n"/>
      <c r="H188" s="2" t="n"/>
      <c r="I188" s="2" t="n"/>
      <c r="J188" s="3" t="n"/>
      <c r="K188" s="4">
        <f>IF($B188="","",IF($J188&lt;&gt;"",$J188-$B188,TODAY()-$B188))</f>
        <v/>
      </c>
    </row>
    <row r="189">
      <c r="A189" s="2" t="n"/>
      <c r="B189" s="3" t="n"/>
      <c r="C189" s="2" t="n"/>
      <c r="D189" s="2" t="n"/>
      <c r="E189" s="2" t="n"/>
      <c r="F189" s="2" t="n"/>
      <c r="G189" s="2" t="n"/>
      <c r="H189" s="2" t="n"/>
      <c r="I189" s="2" t="n"/>
      <c r="J189" s="3" t="n"/>
      <c r="K189" s="4">
        <f>IF($B189="","",IF($J189&lt;&gt;"",$J189-$B189,TODAY()-$B189))</f>
        <v/>
      </c>
    </row>
    <row r="190">
      <c r="A190" s="2" t="n"/>
      <c r="B190" s="3" t="n"/>
      <c r="C190" s="2" t="n"/>
      <c r="D190" s="2" t="n"/>
      <c r="E190" s="2" t="n"/>
      <c r="F190" s="2" t="n"/>
      <c r="G190" s="2" t="n"/>
      <c r="H190" s="2" t="n"/>
      <c r="I190" s="2" t="n"/>
      <c r="J190" s="3" t="n"/>
      <c r="K190" s="4">
        <f>IF($B190="","",IF($J190&lt;&gt;"",$J190-$B190,TODAY()-$B190))</f>
        <v/>
      </c>
    </row>
    <row r="191">
      <c r="A191" s="2" t="n"/>
      <c r="B191" s="3" t="n"/>
      <c r="C191" s="2" t="n"/>
      <c r="D191" s="2" t="n"/>
      <c r="E191" s="2" t="n"/>
      <c r="F191" s="2" t="n"/>
      <c r="G191" s="2" t="n"/>
      <c r="H191" s="2" t="n"/>
      <c r="I191" s="2" t="n"/>
      <c r="J191" s="3" t="n"/>
      <c r="K191" s="4">
        <f>IF($B191="","",IF($J191&lt;&gt;"",$J191-$B191,TODAY()-$B191))</f>
        <v/>
      </c>
    </row>
    <row r="192">
      <c r="A192" s="2" t="n"/>
      <c r="B192" s="3" t="n"/>
      <c r="C192" s="2" t="n"/>
      <c r="D192" s="2" t="n"/>
      <c r="E192" s="2" t="n"/>
      <c r="F192" s="2" t="n"/>
      <c r="G192" s="2" t="n"/>
      <c r="H192" s="2" t="n"/>
      <c r="I192" s="2" t="n"/>
      <c r="J192" s="3" t="n"/>
      <c r="K192" s="4">
        <f>IF($B192="","",IF($J192&lt;&gt;"",$J192-$B192,TODAY()-$B192))</f>
        <v/>
      </c>
    </row>
    <row r="193">
      <c r="A193" s="2" t="n"/>
      <c r="B193" s="3" t="n"/>
      <c r="C193" s="2" t="n"/>
      <c r="D193" s="2" t="n"/>
      <c r="E193" s="2" t="n"/>
      <c r="F193" s="2" t="n"/>
      <c r="G193" s="2" t="n"/>
      <c r="H193" s="2" t="n"/>
      <c r="I193" s="2" t="n"/>
      <c r="J193" s="3" t="n"/>
      <c r="K193" s="4">
        <f>IF($B193="","",IF($J193&lt;&gt;"",$J193-$B193,TODAY()-$B193))</f>
        <v/>
      </c>
    </row>
    <row r="194">
      <c r="A194" s="2" t="n"/>
      <c r="B194" s="3" t="n"/>
      <c r="C194" s="2" t="n"/>
      <c r="D194" s="2" t="n"/>
      <c r="E194" s="2" t="n"/>
      <c r="F194" s="2" t="n"/>
      <c r="G194" s="2" t="n"/>
      <c r="H194" s="2" t="n"/>
      <c r="I194" s="2" t="n"/>
      <c r="J194" s="3" t="n"/>
      <c r="K194" s="4">
        <f>IF($B194="","",IF($J194&lt;&gt;"",$J194-$B194,TODAY()-$B194))</f>
        <v/>
      </c>
    </row>
    <row r="195">
      <c r="A195" s="2" t="n"/>
      <c r="B195" s="3" t="n"/>
      <c r="C195" s="2" t="n"/>
      <c r="D195" s="2" t="n"/>
      <c r="E195" s="2" t="n"/>
      <c r="F195" s="2" t="n"/>
      <c r="G195" s="2" t="n"/>
      <c r="H195" s="2" t="n"/>
      <c r="I195" s="2" t="n"/>
      <c r="J195" s="3" t="n"/>
      <c r="K195" s="4">
        <f>IF($B195="","",IF($J195&lt;&gt;"",$J195-$B195,TODAY()-$B195))</f>
        <v/>
      </c>
    </row>
    <row r="196">
      <c r="A196" s="2" t="n"/>
      <c r="B196" s="3" t="n"/>
      <c r="C196" s="2" t="n"/>
      <c r="D196" s="2" t="n"/>
      <c r="E196" s="2" t="n"/>
      <c r="F196" s="2" t="n"/>
      <c r="G196" s="2" t="n"/>
      <c r="H196" s="2" t="n"/>
      <c r="I196" s="2" t="n"/>
      <c r="J196" s="3" t="n"/>
      <c r="K196" s="4">
        <f>IF($B196="","",IF($J196&lt;&gt;"",$J196-$B196,TODAY()-$B196))</f>
        <v/>
      </c>
    </row>
    <row r="197">
      <c r="A197" s="2" t="n"/>
      <c r="B197" s="3" t="n"/>
      <c r="C197" s="2" t="n"/>
      <c r="D197" s="2" t="n"/>
      <c r="E197" s="2" t="n"/>
      <c r="F197" s="2" t="n"/>
      <c r="G197" s="2" t="n"/>
      <c r="H197" s="2" t="n"/>
      <c r="I197" s="2" t="n"/>
      <c r="J197" s="3" t="n"/>
      <c r="K197" s="4">
        <f>IF($B197="","",IF($J197&lt;&gt;"",$J197-$B197,TODAY()-$B197))</f>
        <v/>
      </c>
    </row>
    <row r="198">
      <c r="A198" s="2" t="n"/>
      <c r="B198" s="3" t="n"/>
      <c r="C198" s="2" t="n"/>
      <c r="D198" s="2" t="n"/>
      <c r="E198" s="2" t="n"/>
      <c r="F198" s="2" t="n"/>
      <c r="G198" s="2" t="n"/>
      <c r="H198" s="2" t="n"/>
      <c r="I198" s="2" t="n"/>
      <c r="J198" s="3" t="n"/>
      <c r="K198" s="4">
        <f>IF($B198="","",IF($J198&lt;&gt;"",$J198-$B198,TODAY()-$B198))</f>
        <v/>
      </c>
    </row>
    <row r="199">
      <c r="A199" s="2" t="n"/>
      <c r="B199" s="3" t="n"/>
      <c r="C199" s="2" t="n"/>
      <c r="D199" s="2" t="n"/>
      <c r="E199" s="2" t="n"/>
      <c r="F199" s="2" t="n"/>
      <c r="G199" s="2" t="n"/>
      <c r="H199" s="2" t="n"/>
      <c r="I199" s="2" t="n"/>
      <c r="J199" s="3" t="n"/>
      <c r="K199" s="4">
        <f>IF($B199="","",IF($J199&lt;&gt;"",$J199-$B199,TODAY()-$B199))</f>
        <v/>
      </c>
    </row>
    <row r="200">
      <c r="A200" s="2" t="n"/>
      <c r="B200" s="3" t="n"/>
      <c r="C200" s="2" t="n"/>
      <c r="D200" s="2" t="n"/>
      <c r="E200" s="2" t="n"/>
      <c r="F200" s="2" t="n"/>
      <c r="G200" s="2" t="n"/>
      <c r="H200" s="2" t="n"/>
      <c r="I200" s="2" t="n"/>
      <c r="J200" s="3" t="n"/>
      <c r="K200" s="4">
        <f>IF($B200="","",IF($J200&lt;&gt;"",$J200-$B200,TODAY()-$B200))</f>
        <v/>
      </c>
    </row>
    <row r="201">
      <c r="A201" s="2" t="n"/>
      <c r="B201" s="3" t="n"/>
      <c r="C201" s="2" t="n"/>
      <c r="D201" s="2" t="n"/>
      <c r="E201" s="2" t="n"/>
      <c r="F201" s="2" t="n"/>
      <c r="G201" s="2" t="n"/>
      <c r="H201" s="2" t="n"/>
      <c r="I201" s="2" t="n"/>
      <c r="J201" s="3" t="n"/>
      <c r="K201" s="4">
        <f>IF($B201="","",IF($J201&lt;&gt;"",$J201-$B201,TODAY()-$B201))</f>
        <v/>
      </c>
    </row>
    <row r="202">
      <c r="A202" s="2" t="n"/>
      <c r="B202" s="3" t="n"/>
      <c r="C202" s="2" t="n"/>
      <c r="D202" s="2" t="n"/>
      <c r="E202" s="2" t="n"/>
      <c r="F202" s="2" t="n"/>
      <c r="G202" s="2" t="n"/>
      <c r="H202" s="2" t="n"/>
      <c r="I202" s="2" t="n"/>
      <c r="J202" s="3" t="n"/>
      <c r="K202" s="4">
        <f>IF($B202="","",IF($J202&lt;&gt;"",$J202-$B202,TODAY()-$B202))</f>
        <v/>
      </c>
    </row>
    <row r="203">
      <c r="A203" s="2" t="n"/>
      <c r="B203" s="3" t="n"/>
      <c r="C203" s="2" t="n"/>
      <c r="D203" s="2" t="n"/>
      <c r="E203" s="2" t="n"/>
      <c r="F203" s="2" t="n"/>
      <c r="G203" s="2" t="n"/>
      <c r="H203" s="2" t="n"/>
      <c r="I203" s="2" t="n"/>
      <c r="J203" s="3" t="n"/>
      <c r="K203" s="4">
        <f>IF($B203="","",IF($J203&lt;&gt;"",$J203-$B203,TODAY()-$B203))</f>
        <v/>
      </c>
    </row>
    <row r="204">
      <c r="A204" s="2" t="n"/>
      <c r="B204" s="3" t="n"/>
      <c r="C204" s="2" t="n"/>
      <c r="D204" s="2" t="n"/>
      <c r="E204" s="2" t="n"/>
      <c r="F204" s="2" t="n"/>
      <c r="G204" s="2" t="n"/>
      <c r="H204" s="2" t="n"/>
      <c r="I204" s="2" t="n"/>
      <c r="J204" s="3" t="n"/>
      <c r="K204" s="4">
        <f>IF($B204="","",IF($J204&lt;&gt;"",$J204-$B204,TODAY()-$B204))</f>
        <v/>
      </c>
    </row>
    <row r="205">
      <c r="A205" s="2" t="n"/>
      <c r="B205" s="3" t="n"/>
      <c r="C205" s="2" t="n"/>
      <c r="D205" s="2" t="n"/>
      <c r="E205" s="2" t="n"/>
      <c r="F205" s="2" t="n"/>
      <c r="G205" s="2" t="n"/>
      <c r="H205" s="2" t="n"/>
      <c r="I205" s="2" t="n"/>
      <c r="J205" s="3" t="n"/>
      <c r="K205" s="4">
        <f>IF($B205="","",IF($J205&lt;&gt;"",$J205-$B205,TODAY()-$B205))</f>
        <v/>
      </c>
    </row>
    <row r="206">
      <c r="A206" s="2" t="n"/>
      <c r="B206" s="3" t="n"/>
      <c r="C206" s="2" t="n"/>
      <c r="D206" s="2" t="n"/>
      <c r="E206" s="2" t="n"/>
      <c r="F206" s="2" t="n"/>
      <c r="G206" s="2" t="n"/>
      <c r="H206" s="2" t="n"/>
      <c r="I206" s="2" t="n"/>
      <c r="J206" s="3" t="n"/>
      <c r="K206" s="4">
        <f>IF($B206="","",IF($J206&lt;&gt;"",$J206-$B206,TODAY()-$B206))</f>
        <v/>
      </c>
    </row>
    <row r="207">
      <c r="A207" s="2" t="n"/>
      <c r="B207" s="3" t="n"/>
      <c r="C207" s="2" t="n"/>
      <c r="D207" s="2" t="n"/>
      <c r="E207" s="2" t="n"/>
      <c r="F207" s="2" t="n"/>
      <c r="G207" s="2" t="n"/>
      <c r="H207" s="2" t="n"/>
      <c r="I207" s="2" t="n"/>
      <c r="J207" s="3" t="n"/>
      <c r="K207" s="4">
        <f>IF($B207="","",IF($J207&lt;&gt;"",$J207-$B207,TODAY()-$B207))</f>
        <v/>
      </c>
    </row>
    <row r="208">
      <c r="A208" s="2" t="n"/>
      <c r="B208" s="3" t="n"/>
      <c r="C208" s="2" t="n"/>
      <c r="D208" s="2" t="n"/>
      <c r="E208" s="2" t="n"/>
      <c r="F208" s="2" t="n"/>
      <c r="G208" s="2" t="n"/>
      <c r="H208" s="2" t="n"/>
      <c r="I208" s="2" t="n"/>
      <c r="J208" s="3" t="n"/>
      <c r="K208" s="4">
        <f>IF($B208="","",IF($J208&lt;&gt;"",$J208-$B208,TODAY()-$B208))</f>
        <v/>
      </c>
    </row>
    <row r="209">
      <c r="A209" s="2" t="n"/>
      <c r="B209" s="3" t="n"/>
      <c r="C209" s="2" t="n"/>
      <c r="D209" s="2" t="n"/>
      <c r="E209" s="2" t="n"/>
      <c r="F209" s="2" t="n"/>
      <c r="G209" s="2" t="n"/>
      <c r="H209" s="2" t="n"/>
      <c r="I209" s="2" t="n"/>
      <c r="J209" s="3" t="n"/>
      <c r="K209" s="4">
        <f>IF($B209="","",IF($J209&lt;&gt;"",$J209-$B209,TODAY()-$B209))</f>
        <v/>
      </c>
    </row>
    <row r="210">
      <c r="A210" s="2" t="n"/>
      <c r="B210" s="3" t="n"/>
      <c r="C210" s="2" t="n"/>
      <c r="D210" s="2" t="n"/>
      <c r="E210" s="2" t="n"/>
      <c r="F210" s="2" t="n"/>
      <c r="G210" s="2" t="n"/>
      <c r="H210" s="2" t="n"/>
      <c r="I210" s="2" t="n"/>
      <c r="J210" s="3" t="n"/>
      <c r="K210" s="4">
        <f>IF($B210="","",IF($J210&lt;&gt;"",$J210-$B210,TODAY()-$B210))</f>
        <v/>
      </c>
    </row>
    <row r="211">
      <c r="A211" s="2" t="n"/>
      <c r="B211" s="3" t="n"/>
      <c r="C211" s="2" t="n"/>
      <c r="D211" s="2" t="n"/>
      <c r="E211" s="2" t="n"/>
      <c r="F211" s="2" t="n"/>
      <c r="G211" s="2" t="n"/>
      <c r="H211" s="2" t="n"/>
      <c r="I211" s="2" t="n"/>
      <c r="J211" s="3" t="n"/>
      <c r="K211" s="4">
        <f>IF($B211="","",IF($J211&lt;&gt;"",$J211-$B211,TODAY()-$B211))</f>
        <v/>
      </c>
    </row>
    <row r="212">
      <c r="A212" s="2" t="n"/>
      <c r="B212" s="3" t="n"/>
      <c r="C212" s="2" t="n"/>
      <c r="D212" s="2" t="n"/>
      <c r="E212" s="2" t="n"/>
      <c r="F212" s="2" t="n"/>
      <c r="G212" s="2" t="n"/>
      <c r="H212" s="2" t="n"/>
      <c r="I212" s="2" t="n"/>
      <c r="J212" s="3" t="n"/>
      <c r="K212" s="4">
        <f>IF($B212="","",IF($J212&lt;&gt;"",$J212-$B212,TODAY()-$B212))</f>
        <v/>
      </c>
    </row>
    <row r="213">
      <c r="A213" s="2" t="n"/>
      <c r="B213" s="3" t="n"/>
      <c r="C213" s="2" t="n"/>
      <c r="D213" s="2" t="n"/>
      <c r="E213" s="2" t="n"/>
      <c r="F213" s="2" t="n"/>
      <c r="G213" s="2" t="n"/>
      <c r="H213" s="2" t="n"/>
      <c r="I213" s="2" t="n"/>
      <c r="J213" s="3" t="n"/>
      <c r="K213" s="4">
        <f>IF($B213="","",IF($J213&lt;&gt;"",$J213-$B213,TODAY()-$B213))</f>
        <v/>
      </c>
    </row>
    <row r="214">
      <c r="A214" s="2" t="n"/>
      <c r="B214" s="3" t="n"/>
      <c r="C214" s="2" t="n"/>
      <c r="D214" s="2" t="n"/>
      <c r="E214" s="2" t="n"/>
      <c r="F214" s="2" t="n"/>
      <c r="G214" s="2" t="n"/>
      <c r="H214" s="2" t="n"/>
      <c r="I214" s="2" t="n"/>
      <c r="J214" s="3" t="n"/>
      <c r="K214" s="4">
        <f>IF($B214="","",IF($J214&lt;&gt;"",$J214-$B214,TODAY()-$B214))</f>
        <v/>
      </c>
    </row>
    <row r="215">
      <c r="A215" s="2" t="n"/>
      <c r="B215" s="3" t="n"/>
      <c r="C215" s="2" t="n"/>
      <c r="D215" s="2" t="n"/>
      <c r="E215" s="2" t="n"/>
      <c r="F215" s="2" t="n"/>
      <c r="G215" s="2" t="n"/>
      <c r="H215" s="2" t="n"/>
      <c r="I215" s="2" t="n"/>
      <c r="J215" s="3" t="n"/>
      <c r="K215" s="4">
        <f>IF($B215="","",IF($J215&lt;&gt;"",$J215-$B215,TODAY()-$B215))</f>
        <v/>
      </c>
    </row>
    <row r="216">
      <c r="A216" s="2" t="n"/>
      <c r="B216" s="3" t="n"/>
      <c r="C216" s="2" t="n"/>
      <c r="D216" s="2" t="n"/>
      <c r="E216" s="2" t="n"/>
      <c r="F216" s="2" t="n"/>
      <c r="G216" s="2" t="n"/>
      <c r="H216" s="2" t="n"/>
      <c r="I216" s="2" t="n"/>
      <c r="J216" s="3" t="n"/>
      <c r="K216" s="4">
        <f>IF($B216="","",IF($J216&lt;&gt;"",$J216-$B216,TODAY()-$B216))</f>
        <v/>
      </c>
    </row>
    <row r="217">
      <c r="A217" s="2" t="n"/>
      <c r="B217" s="3" t="n"/>
      <c r="C217" s="2" t="n"/>
      <c r="D217" s="2" t="n"/>
      <c r="E217" s="2" t="n"/>
      <c r="F217" s="2" t="n"/>
      <c r="G217" s="2" t="n"/>
      <c r="H217" s="2" t="n"/>
      <c r="I217" s="2" t="n"/>
      <c r="J217" s="3" t="n"/>
      <c r="K217" s="4">
        <f>IF($B217="","",IF($J217&lt;&gt;"",$J217-$B217,TODAY()-$B217))</f>
        <v/>
      </c>
    </row>
    <row r="218">
      <c r="A218" s="2" t="n"/>
      <c r="B218" s="3" t="n"/>
      <c r="C218" s="2" t="n"/>
      <c r="D218" s="2" t="n"/>
      <c r="E218" s="2" t="n"/>
      <c r="F218" s="2" t="n"/>
      <c r="G218" s="2" t="n"/>
      <c r="H218" s="2" t="n"/>
      <c r="I218" s="2" t="n"/>
      <c r="J218" s="3" t="n"/>
      <c r="K218" s="4">
        <f>IF($B218="","",IF($J218&lt;&gt;"",$J218-$B218,TODAY()-$B218))</f>
        <v/>
      </c>
    </row>
    <row r="219">
      <c r="A219" s="2" t="n"/>
      <c r="B219" s="3" t="n"/>
      <c r="C219" s="2" t="n"/>
      <c r="D219" s="2" t="n"/>
      <c r="E219" s="2" t="n"/>
      <c r="F219" s="2" t="n"/>
      <c r="G219" s="2" t="n"/>
      <c r="H219" s="2" t="n"/>
      <c r="I219" s="2" t="n"/>
      <c r="J219" s="3" t="n"/>
      <c r="K219" s="4">
        <f>IF($B219="","",IF($J219&lt;&gt;"",$J219-$B219,TODAY()-$B219))</f>
        <v/>
      </c>
    </row>
    <row r="220">
      <c r="A220" s="2" t="n"/>
      <c r="B220" s="3" t="n"/>
      <c r="C220" s="2" t="n"/>
      <c r="D220" s="2" t="n"/>
      <c r="E220" s="2" t="n"/>
      <c r="F220" s="2" t="n"/>
      <c r="G220" s="2" t="n"/>
      <c r="H220" s="2" t="n"/>
      <c r="I220" s="2" t="n"/>
      <c r="J220" s="3" t="n"/>
      <c r="K220" s="4">
        <f>IF($B220="","",IF($J220&lt;&gt;"",$J220-$B220,TODAY()-$B220))</f>
        <v/>
      </c>
    </row>
    <row r="221">
      <c r="A221" s="2" t="n"/>
      <c r="B221" s="3" t="n"/>
      <c r="C221" s="2" t="n"/>
      <c r="D221" s="2" t="n"/>
      <c r="E221" s="2" t="n"/>
      <c r="F221" s="2" t="n"/>
      <c r="G221" s="2" t="n"/>
      <c r="H221" s="2" t="n"/>
      <c r="I221" s="2" t="n"/>
      <c r="J221" s="3" t="n"/>
      <c r="K221" s="4">
        <f>IF($B221="","",IF($J221&lt;&gt;"",$J221-$B221,TODAY()-$B221))</f>
        <v/>
      </c>
    </row>
    <row r="222">
      <c r="A222" s="2" t="n"/>
      <c r="B222" s="3" t="n"/>
      <c r="C222" s="2" t="n"/>
      <c r="D222" s="2" t="n"/>
      <c r="E222" s="2" t="n"/>
      <c r="F222" s="2" t="n"/>
      <c r="G222" s="2" t="n"/>
      <c r="H222" s="2" t="n"/>
      <c r="I222" s="2" t="n"/>
      <c r="J222" s="3" t="n"/>
      <c r="K222" s="4">
        <f>IF($B222="","",IF($J222&lt;&gt;"",$J222-$B222,TODAY()-$B222))</f>
        <v/>
      </c>
    </row>
    <row r="223">
      <c r="A223" s="2" t="n"/>
      <c r="B223" s="3" t="n"/>
      <c r="C223" s="2" t="n"/>
      <c r="D223" s="2" t="n"/>
      <c r="E223" s="2" t="n"/>
      <c r="F223" s="2" t="n"/>
      <c r="G223" s="2" t="n"/>
      <c r="H223" s="2" t="n"/>
      <c r="I223" s="2" t="n"/>
      <c r="J223" s="3" t="n"/>
      <c r="K223" s="4">
        <f>IF($B223="","",IF($J223&lt;&gt;"",$J223-$B223,TODAY()-$B223))</f>
        <v/>
      </c>
    </row>
    <row r="224">
      <c r="A224" s="2" t="n"/>
      <c r="B224" s="3" t="n"/>
      <c r="C224" s="2" t="n"/>
      <c r="D224" s="2" t="n"/>
      <c r="E224" s="2" t="n"/>
      <c r="F224" s="2" t="n"/>
      <c r="G224" s="2" t="n"/>
      <c r="H224" s="2" t="n"/>
      <c r="I224" s="2" t="n"/>
      <c r="J224" s="3" t="n"/>
      <c r="K224" s="4">
        <f>IF($B224="","",IF($J224&lt;&gt;"",$J224-$B224,TODAY()-$B224))</f>
        <v/>
      </c>
    </row>
    <row r="225">
      <c r="A225" s="2" t="n"/>
      <c r="B225" s="3" t="n"/>
      <c r="C225" s="2" t="n"/>
      <c r="D225" s="2" t="n"/>
      <c r="E225" s="2" t="n"/>
      <c r="F225" s="2" t="n"/>
      <c r="G225" s="2" t="n"/>
      <c r="H225" s="2" t="n"/>
      <c r="I225" s="2" t="n"/>
      <c r="J225" s="3" t="n"/>
      <c r="K225" s="4">
        <f>IF($B225="","",IF($J225&lt;&gt;"",$J225-$B225,TODAY()-$B225))</f>
        <v/>
      </c>
    </row>
    <row r="226">
      <c r="A226" s="2" t="n"/>
      <c r="B226" s="3" t="n"/>
      <c r="C226" s="2" t="n"/>
      <c r="D226" s="2" t="n"/>
      <c r="E226" s="2" t="n"/>
      <c r="F226" s="2" t="n"/>
      <c r="G226" s="2" t="n"/>
      <c r="H226" s="2" t="n"/>
      <c r="I226" s="2" t="n"/>
      <c r="J226" s="3" t="n"/>
      <c r="K226" s="4">
        <f>IF($B226="","",IF($J226&lt;&gt;"",$J226-$B226,TODAY()-$B226))</f>
        <v/>
      </c>
    </row>
    <row r="227">
      <c r="A227" s="2" t="n"/>
      <c r="B227" s="3" t="n"/>
      <c r="C227" s="2" t="n"/>
      <c r="D227" s="2" t="n"/>
      <c r="E227" s="2" t="n"/>
      <c r="F227" s="2" t="n"/>
      <c r="G227" s="2" t="n"/>
      <c r="H227" s="2" t="n"/>
      <c r="I227" s="2" t="n"/>
      <c r="J227" s="3" t="n"/>
      <c r="K227" s="4">
        <f>IF($B227="","",IF($J227&lt;&gt;"",$J227-$B227,TODAY()-$B227))</f>
        <v/>
      </c>
    </row>
    <row r="228">
      <c r="A228" s="2" t="n"/>
      <c r="B228" s="3" t="n"/>
      <c r="C228" s="2" t="n"/>
      <c r="D228" s="2" t="n"/>
      <c r="E228" s="2" t="n"/>
      <c r="F228" s="2" t="n"/>
      <c r="G228" s="2" t="n"/>
      <c r="H228" s="2" t="n"/>
      <c r="I228" s="2" t="n"/>
      <c r="J228" s="3" t="n"/>
      <c r="K228" s="4">
        <f>IF($B228="","",IF($J228&lt;&gt;"",$J228-$B228,TODAY()-$B228))</f>
        <v/>
      </c>
    </row>
    <row r="229">
      <c r="A229" s="2" t="n"/>
      <c r="B229" s="3" t="n"/>
      <c r="C229" s="2" t="n"/>
      <c r="D229" s="2" t="n"/>
      <c r="E229" s="2" t="n"/>
      <c r="F229" s="2" t="n"/>
      <c r="G229" s="2" t="n"/>
      <c r="H229" s="2" t="n"/>
      <c r="I229" s="2" t="n"/>
      <c r="J229" s="3" t="n"/>
      <c r="K229" s="4">
        <f>IF($B229="","",IF($J229&lt;&gt;"",$J229-$B229,TODAY()-$B229))</f>
        <v/>
      </c>
    </row>
    <row r="230">
      <c r="A230" s="2" t="n"/>
      <c r="B230" s="3" t="n"/>
      <c r="C230" s="2" t="n"/>
      <c r="D230" s="2" t="n"/>
      <c r="E230" s="2" t="n"/>
      <c r="F230" s="2" t="n"/>
      <c r="G230" s="2" t="n"/>
      <c r="H230" s="2" t="n"/>
      <c r="I230" s="2" t="n"/>
      <c r="J230" s="3" t="n"/>
      <c r="K230" s="4">
        <f>IF($B230="","",IF($J230&lt;&gt;"",$J230-$B230,TODAY()-$B230))</f>
        <v/>
      </c>
    </row>
    <row r="231">
      <c r="A231" s="2" t="n"/>
      <c r="B231" s="3" t="n"/>
      <c r="C231" s="2" t="n"/>
      <c r="D231" s="2" t="n"/>
      <c r="E231" s="2" t="n"/>
      <c r="F231" s="2" t="n"/>
      <c r="G231" s="2" t="n"/>
      <c r="H231" s="2" t="n"/>
      <c r="I231" s="2" t="n"/>
      <c r="J231" s="3" t="n"/>
      <c r="K231" s="4">
        <f>IF($B231="","",IF($J231&lt;&gt;"",$J231-$B231,TODAY()-$B231))</f>
        <v/>
      </c>
    </row>
    <row r="232">
      <c r="A232" s="2" t="n"/>
      <c r="B232" s="3" t="n"/>
      <c r="C232" s="2" t="n"/>
      <c r="D232" s="2" t="n"/>
      <c r="E232" s="2" t="n"/>
      <c r="F232" s="2" t="n"/>
      <c r="G232" s="2" t="n"/>
      <c r="H232" s="2" t="n"/>
      <c r="I232" s="2" t="n"/>
      <c r="J232" s="3" t="n"/>
      <c r="K232" s="4">
        <f>IF($B232="","",IF($J232&lt;&gt;"",$J232-$B232,TODAY()-$B232))</f>
        <v/>
      </c>
    </row>
    <row r="233">
      <c r="A233" s="2" t="n"/>
      <c r="B233" s="3" t="n"/>
      <c r="C233" s="2" t="n"/>
      <c r="D233" s="2" t="n"/>
      <c r="E233" s="2" t="n"/>
      <c r="F233" s="2" t="n"/>
      <c r="G233" s="2" t="n"/>
      <c r="H233" s="2" t="n"/>
      <c r="I233" s="2" t="n"/>
      <c r="J233" s="3" t="n"/>
      <c r="K233" s="4">
        <f>IF($B233="","",IF($J233&lt;&gt;"",$J233-$B233,TODAY()-$B233))</f>
        <v/>
      </c>
    </row>
    <row r="234">
      <c r="A234" s="2" t="n"/>
      <c r="B234" s="3" t="n"/>
      <c r="C234" s="2" t="n"/>
      <c r="D234" s="2" t="n"/>
      <c r="E234" s="2" t="n"/>
      <c r="F234" s="2" t="n"/>
      <c r="G234" s="2" t="n"/>
      <c r="H234" s="2" t="n"/>
      <c r="I234" s="2" t="n"/>
      <c r="J234" s="3" t="n"/>
      <c r="K234" s="4">
        <f>IF($B234="","",IF($J234&lt;&gt;"",$J234-$B234,TODAY()-$B234))</f>
        <v/>
      </c>
    </row>
    <row r="235">
      <c r="A235" s="2" t="n"/>
      <c r="B235" s="3" t="n"/>
      <c r="C235" s="2" t="n"/>
      <c r="D235" s="2" t="n"/>
      <c r="E235" s="2" t="n"/>
      <c r="F235" s="2" t="n"/>
      <c r="G235" s="2" t="n"/>
      <c r="H235" s="2" t="n"/>
      <c r="I235" s="2" t="n"/>
      <c r="J235" s="3" t="n"/>
      <c r="K235" s="4">
        <f>IF($B235="","",IF($J235&lt;&gt;"",$J235-$B235,TODAY()-$B235))</f>
        <v/>
      </c>
    </row>
    <row r="236">
      <c r="A236" s="2" t="n"/>
      <c r="B236" s="3" t="n"/>
      <c r="C236" s="2" t="n"/>
      <c r="D236" s="2" t="n"/>
      <c r="E236" s="2" t="n"/>
      <c r="F236" s="2" t="n"/>
      <c r="G236" s="2" t="n"/>
      <c r="H236" s="2" t="n"/>
      <c r="I236" s="2" t="n"/>
      <c r="J236" s="3" t="n"/>
      <c r="K236" s="4">
        <f>IF($B236="","",IF($J236&lt;&gt;"",$J236-$B236,TODAY()-$B236))</f>
        <v/>
      </c>
    </row>
    <row r="237">
      <c r="A237" s="2" t="n"/>
      <c r="B237" s="3" t="n"/>
      <c r="C237" s="2" t="n"/>
      <c r="D237" s="2" t="n"/>
      <c r="E237" s="2" t="n"/>
      <c r="F237" s="2" t="n"/>
      <c r="G237" s="2" t="n"/>
      <c r="H237" s="2" t="n"/>
      <c r="I237" s="2" t="n"/>
      <c r="J237" s="3" t="n"/>
      <c r="K237" s="4">
        <f>IF($B237="","",IF($J237&lt;&gt;"",$J237-$B237,TODAY()-$B237))</f>
        <v/>
      </c>
    </row>
    <row r="238">
      <c r="A238" s="2" t="n"/>
      <c r="B238" s="3" t="n"/>
      <c r="C238" s="2" t="n"/>
      <c r="D238" s="2" t="n"/>
      <c r="E238" s="2" t="n"/>
      <c r="F238" s="2" t="n"/>
      <c r="G238" s="2" t="n"/>
      <c r="H238" s="2" t="n"/>
      <c r="I238" s="2" t="n"/>
      <c r="J238" s="3" t="n"/>
      <c r="K238" s="4">
        <f>IF($B238="","",IF($J238&lt;&gt;"",$J238-$B238,TODAY()-$B238))</f>
        <v/>
      </c>
    </row>
    <row r="239">
      <c r="A239" s="2" t="n"/>
      <c r="B239" s="3" t="n"/>
      <c r="C239" s="2" t="n"/>
      <c r="D239" s="2" t="n"/>
      <c r="E239" s="2" t="n"/>
      <c r="F239" s="2" t="n"/>
      <c r="G239" s="2" t="n"/>
      <c r="H239" s="2" t="n"/>
      <c r="I239" s="2" t="n"/>
      <c r="J239" s="3" t="n"/>
      <c r="K239" s="4">
        <f>IF($B239="","",IF($J239&lt;&gt;"",$J239-$B239,TODAY()-$B239))</f>
        <v/>
      </c>
    </row>
    <row r="240">
      <c r="A240" s="2" t="n"/>
      <c r="B240" s="3" t="n"/>
      <c r="C240" s="2" t="n"/>
      <c r="D240" s="2" t="n"/>
      <c r="E240" s="2" t="n"/>
      <c r="F240" s="2" t="n"/>
      <c r="G240" s="2" t="n"/>
      <c r="H240" s="2" t="n"/>
      <c r="I240" s="2" t="n"/>
      <c r="J240" s="3" t="n"/>
      <c r="K240" s="4">
        <f>IF($B240="","",IF($J240&lt;&gt;"",$J240-$B240,TODAY()-$B240))</f>
        <v/>
      </c>
    </row>
    <row r="241">
      <c r="A241" s="2" t="n"/>
      <c r="B241" s="3" t="n"/>
      <c r="C241" s="2" t="n"/>
      <c r="D241" s="2" t="n"/>
      <c r="E241" s="2" t="n"/>
      <c r="F241" s="2" t="n"/>
      <c r="G241" s="2" t="n"/>
      <c r="H241" s="2" t="n"/>
      <c r="I241" s="2" t="n"/>
      <c r="J241" s="3" t="n"/>
      <c r="K241" s="4">
        <f>IF($B241="","",IF($J241&lt;&gt;"",$J241-$B241,TODAY()-$B241))</f>
        <v/>
      </c>
    </row>
    <row r="242">
      <c r="A242" s="2" t="n"/>
      <c r="B242" s="3" t="n"/>
      <c r="C242" s="2" t="n"/>
      <c r="D242" s="2" t="n"/>
      <c r="E242" s="2" t="n"/>
      <c r="F242" s="2" t="n"/>
      <c r="G242" s="2" t="n"/>
      <c r="H242" s="2" t="n"/>
      <c r="I242" s="2" t="n"/>
      <c r="J242" s="3" t="n"/>
      <c r="K242" s="4">
        <f>IF($B242="","",IF($J242&lt;&gt;"",$J242-$B242,TODAY()-$B242))</f>
        <v/>
      </c>
    </row>
    <row r="243">
      <c r="A243" s="2" t="n"/>
      <c r="B243" s="3" t="n"/>
      <c r="C243" s="2" t="n"/>
      <c r="D243" s="2" t="n"/>
      <c r="E243" s="2" t="n"/>
      <c r="F243" s="2" t="n"/>
      <c r="G243" s="2" t="n"/>
      <c r="H243" s="2" t="n"/>
      <c r="I243" s="2" t="n"/>
      <c r="J243" s="3" t="n"/>
      <c r="K243" s="4">
        <f>IF($B243="","",IF($J243&lt;&gt;"",$J243-$B243,TODAY()-$B243))</f>
        <v/>
      </c>
    </row>
    <row r="244">
      <c r="A244" s="2" t="n"/>
      <c r="B244" s="3" t="n"/>
      <c r="C244" s="2" t="n"/>
      <c r="D244" s="2" t="n"/>
      <c r="E244" s="2" t="n"/>
      <c r="F244" s="2" t="n"/>
      <c r="G244" s="2" t="n"/>
      <c r="H244" s="2" t="n"/>
      <c r="I244" s="2" t="n"/>
      <c r="J244" s="3" t="n"/>
      <c r="K244" s="4">
        <f>IF($B244="","",IF($J244&lt;&gt;"",$J244-$B244,TODAY()-$B244))</f>
        <v/>
      </c>
    </row>
    <row r="245">
      <c r="A245" s="2" t="n"/>
      <c r="B245" s="3" t="n"/>
      <c r="C245" s="2" t="n"/>
      <c r="D245" s="2" t="n"/>
      <c r="E245" s="2" t="n"/>
      <c r="F245" s="2" t="n"/>
      <c r="G245" s="2" t="n"/>
      <c r="H245" s="2" t="n"/>
      <c r="I245" s="2" t="n"/>
      <c r="J245" s="3" t="n"/>
      <c r="K245" s="4">
        <f>IF($B245="","",IF($J245&lt;&gt;"",$J245-$B245,TODAY()-$B245))</f>
        <v/>
      </c>
    </row>
    <row r="246">
      <c r="A246" s="2" t="n"/>
      <c r="B246" s="3" t="n"/>
      <c r="C246" s="2" t="n"/>
      <c r="D246" s="2" t="n"/>
      <c r="E246" s="2" t="n"/>
      <c r="F246" s="2" t="n"/>
      <c r="G246" s="2" t="n"/>
      <c r="H246" s="2" t="n"/>
      <c r="I246" s="2" t="n"/>
      <c r="J246" s="3" t="n"/>
      <c r="K246" s="4">
        <f>IF($B246="","",IF($J246&lt;&gt;"",$J246-$B246,TODAY()-$B246))</f>
        <v/>
      </c>
    </row>
    <row r="247">
      <c r="A247" s="2" t="n"/>
      <c r="B247" s="3" t="n"/>
      <c r="C247" s="2" t="n"/>
      <c r="D247" s="2" t="n"/>
      <c r="E247" s="2" t="n"/>
      <c r="F247" s="2" t="n"/>
      <c r="G247" s="2" t="n"/>
      <c r="H247" s="2" t="n"/>
      <c r="I247" s="2" t="n"/>
      <c r="J247" s="3" t="n"/>
      <c r="K247" s="4">
        <f>IF($B247="","",IF($J247&lt;&gt;"",$J247-$B247,TODAY()-$B247))</f>
        <v/>
      </c>
    </row>
    <row r="248">
      <c r="A248" s="2" t="n"/>
      <c r="B248" s="3" t="n"/>
      <c r="C248" s="2" t="n"/>
      <c r="D248" s="2" t="n"/>
      <c r="E248" s="2" t="n"/>
      <c r="F248" s="2" t="n"/>
      <c r="G248" s="2" t="n"/>
      <c r="H248" s="2" t="n"/>
      <c r="I248" s="2" t="n"/>
      <c r="J248" s="3" t="n"/>
      <c r="K248" s="4">
        <f>IF($B248="","",IF($J248&lt;&gt;"",$J248-$B248,TODAY()-$B248))</f>
        <v/>
      </c>
    </row>
    <row r="249">
      <c r="A249" s="2" t="n"/>
      <c r="B249" s="3" t="n"/>
      <c r="C249" s="2" t="n"/>
      <c r="D249" s="2" t="n"/>
      <c r="E249" s="2" t="n"/>
      <c r="F249" s="2" t="n"/>
      <c r="G249" s="2" t="n"/>
      <c r="H249" s="2" t="n"/>
      <c r="I249" s="2" t="n"/>
      <c r="J249" s="3" t="n"/>
      <c r="K249" s="4">
        <f>IF($B249="","",IF($J249&lt;&gt;"",$J249-$B249,TODAY()-$B249))</f>
        <v/>
      </c>
    </row>
    <row r="250">
      <c r="A250" s="2" t="n"/>
      <c r="B250" s="3" t="n"/>
      <c r="C250" s="2" t="n"/>
      <c r="D250" s="2" t="n"/>
      <c r="E250" s="2" t="n"/>
      <c r="F250" s="2" t="n"/>
      <c r="G250" s="2" t="n"/>
      <c r="H250" s="2" t="n"/>
      <c r="I250" s="2" t="n"/>
      <c r="J250" s="3" t="n"/>
      <c r="K250" s="4">
        <f>IF($B250="","",IF($J250&lt;&gt;"",$J250-$B250,TODAY()-$B250))</f>
        <v/>
      </c>
    </row>
    <row r="251">
      <c r="A251" s="2" t="n"/>
      <c r="B251" s="3" t="n"/>
      <c r="C251" s="2" t="n"/>
      <c r="D251" s="2" t="n"/>
      <c r="E251" s="2" t="n"/>
      <c r="F251" s="2" t="n"/>
      <c r="G251" s="2" t="n"/>
      <c r="H251" s="2" t="n"/>
      <c r="I251" s="2" t="n"/>
      <c r="J251" s="3" t="n"/>
      <c r="K251" s="4">
        <f>IF($B251="","",IF($J251&lt;&gt;"",$J251-$B251,TODAY()-$B251))</f>
        <v/>
      </c>
    </row>
    <row r="252">
      <c r="A252" s="2" t="n"/>
      <c r="B252" s="3" t="n"/>
      <c r="C252" s="2" t="n"/>
      <c r="D252" s="2" t="n"/>
      <c r="E252" s="2" t="n"/>
      <c r="F252" s="2" t="n"/>
      <c r="G252" s="2" t="n"/>
      <c r="H252" s="2" t="n"/>
      <c r="I252" s="2" t="n"/>
      <c r="J252" s="3" t="n"/>
      <c r="K252" s="4">
        <f>IF($B252="","",IF($J252&lt;&gt;"",$J252-$B252,TODAY()-$B252))</f>
        <v/>
      </c>
    </row>
    <row r="253">
      <c r="A253" s="2" t="n"/>
      <c r="B253" s="3" t="n"/>
      <c r="C253" s="2" t="n"/>
      <c r="D253" s="2" t="n"/>
      <c r="E253" s="2" t="n"/>
      <c r="F253" s="2" t="n"/>
      <c r="G253" s="2" t="n"/>
      <c r="H253" s="2" t="n"/>
      <c r="I253" s="2" t="n"/>
      <c r="J253" s="3" t="n"/>
      <c r="K253" s="4">
        <f>IF($B253="","",IF($J253&lt;&gt;"",$J253-$B253,TODAY()-$B253))</f>
        <v/>
      </c>
    </row>
    <row r="254">
      <c r="A254" s="2" t="n"/>
      <c r="B254" s="3" t="n"/>
      <c r="C254" s="2" t="n"/>
      <c r="D254" s="2" t="n"/>
      <c r="E254" s="2" t="n"/>
      <c r="F254" s="2" t="n"/>
      <c r="G254" s="2" t="n"/>
      <c r="H254" s="2" t="n"/>
      <c r="I254" s="2" t="n"/>
      <c r="J254" s="3" t="n"/>
      <c r="K254" s="4">
        <f>IF($B254="","",IF($J254&lt;&gt;"",$J254-$B254,TODAY()-$B254))</f>
        <v/>
      </c>
    </row>
    <row r="255">
      <c r="A255" s="2" t="n"/>
      <c r="B255" s="3" t="n"/>
      <c r="C255" s="2" t="n"/>
      <c r="D255" s="2" t="n"/>
      <c r="E255" s="2" t="n"/>
      <c r="F255" s="2" t="n"/>
      <c r="G255" s="2" t="n"/>
      <c r="H255" s="2" t="n"/>
      <c r="I255" s="2" t="n"/>
      <c r="J255" s="3" t="n"/>
      <c r="K255" s="4">
        <f>IF($B255="","",IF($J255&lt;&gt;"",$J255-$B255,TODAY()-$B255))</f>
        <v/>
      </c>
    </row>
    <row r="256">
      <c r="A256" s="2" t="n"/>
      <c r="B256" s="3" t="n"/>
      <c r="C256" s="2" t="n"/>
      <c r="D256" s="2" t="n"/>
      <c r="E256" s="2" t="n"/>
      <c r="F256" s="2" t="n"/>
      <c r="G256" s="2" t="n"/>
      <c r="H256" s="2" t="n"/>
      <c r="I256" s="2" t="n"/>
      <c r="J256" s="3" t="n"/>
      <c r="K256" s="4">
        <f>IF($B256="","",IF($J256&lt;&gt;"",$J256-$B256,TODAY()-$B256))</f>
        <v/>
      </c>
    </row>
    <row r="257">
      <c r="A257" s="2" t="n"/>
      <c r="B257" s="3" t="n"/>
      <c r="C257" s="2" t="n"/>
      <c r="D257" s="2" t="n"/>
      <c r="E257" s="2" t="n"/>
      <c r="F257" s="2" t="n"/>
      <c r="G257" s="2" t="n"/>
      <c r="H257" s="2" t="n"/>
      <c r="I257" s="2" t="n"/>
      <c r="J257" s="3" t="n"/>
      <c r="K257" s="4">
        <f>IF($B257="","",IF($J257&lt;&gt;"",$J257-$B257,TODAY()-$B257))</f>
        <v/>
      </c>
    </row>
    <row r="258">
      <c r="A258" s="2" t="n"/>
      <c r="B258" s="3" t="n"/>
      <c r="C258" s="2" t="n"/>
      <c r="D258" s="2" t="n"/>
      <c r="E258" s="2" t="n"/>
      <c r="F258" s="2" t="n"/>
      <c r="G258" s="2" t="n"/>
      <c r="H258" s="2" t="n"/>
      <c r="I258" s="2" t="n"/>
      <c r="J258" s="3" t="n"/>
      <c r="K258" s="4">
        <f>IF($B258="","",IF($J258&lt;&gt;"",$J258-$B258,TODAY()-$B258))</f>
        <v/>
      </c>
    </row>
    <row r="259">
      <c r="A259" s="2" t="n"/>
      <c r="B259" s="3" t="n"/>
      <c r="C259" s="2" t="n"/>
      <c r="D259" s="2" t="n"/>
      <c r="E259" s="2" t="n"/>
      <c r="F259" s="2" t="n"/>
      <c r="G259" s="2" t="n"/>
      <c r="H259" s="2" t="n"/>
      <c r="I259" s="2" t="n"/>
      <c r="J259" s="3" t="n"/>
      <c r="K259" s="4">
        <f>IF($B259="","",IF($J259&lt;&gt;"",$J259-$B259,TODAY()-$B259))</f>
        <v/>
      </c>
    </row>
    <row r="260">
      <c r="A260" s="2" t="n"/>
      <c r="B260" s="3" t="n"/>
      <c r="C260" s="2" t="n"/>
      <c r="D260" s="2" t="n"/>
      <c r="E260" s="2" t="n"/>
      <c r="F260" s="2" t="n"/>
      <c r="G260" s="2" t="n"/>
      <c r="H260" s="2" t="n"/>
      <c r="I260" s="2" t="n"/>
      <c r="J260" s="3" t="n"/>
      <c r="K260" s="4">
        <f>IF($B260="","",IF($J260&lt;&gt;"",$J260-$B260,TODAY()-$B260))</f>
        <v/>
      </c>
    </row>
    <row r="261">
      <c r="A261" s="2" t="n"/>
      <c r="B261" s="3" t="n"/>
      <c r="C261" s="2" t="n"/>
      <c r="D261" s="2" t="n"/>
      <c r="E261" s="2" t="n"/>
      <c r="F261" s="2" t="n"/>
      <c r="G261" s="2" t="n"/>
      <c r="H261" s="2" t="n"/>
      <c r="I261" s="2" t="n"/>
      <c r="J261" s="3" t="n"/>
      <c r="K261" s="4">
        <f>IF($B261="","",IF($J261&lt;&gt;"",$J261-$B261,TODAY()-$B261))</f>
        <v/>
      </c>
    </row>
    <row r="262">
      <c r="A262" s="2" t="n"/>
      <c r="B262" s="3" t="n"/>
      <c r="C262" s="2" t="n"/>
      <c r="D262" s="2" t="n"/>
      <c r="E262" s="2" t="n"/>
      <c r="F262" s="2" t="n"/>
      <c r="G262" s="2" t="n"/>
      <c r="H262" s="2" t="n"/>
      <c r="I262" s="2" t="n"/>
      <c r="J262" s="3" t="n"/>
      <c r="K262" s="4">
        <f>IF($B262="","",IF($J262&lt;&gt;"",$J262-$B262,TODAY()-$B262))</f>
        <v/>
      </c>
    </row>
    <row r="263">
      <c r="A263" s="2" t="n"/>
      <c r="B263" s="3" t="n"/>
      <c r="C263" s="2" t="n"/>
      <c r="D263" s="2" t="n"/>
      <c r="E263" s="2" t="n"/>
      <c r="F263" s="2" t="n"/>
      <c r="G263" s="2" t="n"/>
      <c r="H263" s="2" t="n"/>
      <c r="I263" s="2" t="n"/>
      <c r="J263" s="3" t="n"/>
      <c r="K263" s="4">
        <f>IF($B263="","",IF($J263&lt;&gt;"",$J263-$B263,TODAY()-$B263))</f>
        <v/>
      </c>
    </row>
    <row r="264">
      <c r="A264" s="2" t="n"/>
      <c r="B264" s="3" t="n"/>
      <c r="C264" s="2" t="n"/>
      <c r="D264" s="2" t="n"/>
      <c r="E264" s="2" t="n"/>
      <c r="F264" s="2" t="n"/>
      <c r="G264" s="2" t="n"/>
      <c r="H264" s="2" t="n"/>
      <c r="I264" s="2" t="n"/>
      <c r="J264" s="3" t="n"/>
      <c r="K264" s="4">
        <f>IF($B264="","",IF($J264&lt;&gt;"",$J264-$B264,TODAY()-$B264))</f>
        <v/>
      </c>
    </row>
    <row r="265">
      <c r="A265" s="2" t="n"/>
      <c r="B265" s="3" t="n"/>
      <c r="C265" s="2" t="n"/>
      <c r="D265" s="2" t="n"/>
      <c r="E265" s="2" t="n"/>
      <c r="F265" s="2" t="n"/>
      <c r="G265" s="2" t="n"/>
      <c r="H265" s="2" t="n"/>
      <c r="I265" s="2" t="n"/>
      <c r="J265" s="3" t="n"/>
      <c r="K265" s="4">
        <f>IF($B265="","",IF($J265&lt;&gt;"",$J265-$B265,TODAY()-$B265))</f>
        <v/>
      </c>
    </row>
    <row r="266">
      <c r="A266" s="2" t="n"/>
      <c r="B266" s="3" t="n"/>
      <c r="C266" s="2" t="n"/>
      <c r="D266" s="2" t="n"/>
      <c r="E266" s="2" t="n"/>
      <c r="F266" s="2" t="n"/>
      <c r="G266" s="2" t="n"/>
      <c r="H266" s="2" t="n"/>
      <c r="I266" s="2" t="n"/>
      <c r="J266" s="3" t="n"/>
      <c r="K266" s="4">
        <f>IF($B266="","",IF($J266&lt;&gt;"",$J266-$B266,TODAY()-$B266))</f>
        <v/>
      </c>
    </row>
    <row r="267">
      <c r="A267" s="2" t="n"/>
      <c r="B267" s="3" t="n"/>
      <c r="C267" s="2" t="n"/>
      <c r="D267" s="2" t="n"/>
      <c r="E267" s="2" t="n"/>
      <c r="F267" s="2" t="n"/>
      <c r="G267" s="2" t="n"/>
      <c r="H267" s="2" t="n"/>
      <c r="I267" s="2" t="n"/>
      <c r="J267" s="3" t="n"/>
      <c r="K267" s="4">
        <f>IF($B267="","",IF($J267&lt;&gt;"",$J267-$B267,TODAY()-$B267))</f>
        <v/>
      </c>
    </row>
    <row r="268">
      <c r="A268" s="2" t="n"/>
      <c r="B268" s="3" t="n"/>
      <c r="C268" s="2" t="n"/>
      <c r="D268" s="2" t="n"/>
      <c r="E268" s="2" t="n"/>
      <c r="F268" s="2" t="n"/>
      <c r="G268" s="2" t="n"/>
      <c r="H268" s="2" t="n"/>
      <c r="I268" s="2" t="n"/>
      <c r="J268" s="3" t="n"/>
      <c r="K268" s="4">
        <f>IF($B268="","",IF($J268&lt;&gt;"",$J268-$B268,TODAY()-$B268))</f>
        <v/>
      </c>
    </row>
    <row r="269">
      <c r="A269" s="2" t="n"/>
      <c r="B269" s="3" t="n"/>
      <c r="C269" s="2" t="n"/>
      <c r="D269" s="2" t="n"/>
      <c r="E269" s="2" t="n"/>
      <c r="F269" s="2" t="n"/>
      <c r="G269" s="2" t="n"/>
      <c r="H269" s="2" t="n"/>
      <c r="I269" s="2" t="n"/>
      <c r="J269" s="3" t="n"/>
      <c r="K269" s="4">
        <f>IF($B269="","",IF($J269&lt;&gt;"",$J269-$B269,TODAY()-$B269))</f>
        <v/>
      </c>
    </row>
    <row r="270">
      <c r="A270" s="2" t="n"/>
      <c r="B270" s="3" t="n"/>
      <c r="C270" s="2" t="n"/>
      <c r="D270" s="2" t="n"/>
      <c r="E270" s="2" t="n"/>
      <c r="F270" s="2" t="n"/>
      <c r="G270" s="2" t="n"/>
      <c r="H270" s="2" t="n"/>
      <c r="I270" s="2" t="n"/>
      <c r="J270" s="3" t="n"/>
      <c r="K270" s="4">
        <f>IF($B270="","",IF($J270&lt;&gt;"",$J270-$B270,TODAY()-$B270))</f>
        <v/>
      </c>
    </row>
    <row r="271">
      <c r="A271" s="2" t="n"/>
      <c r="B271" s="3" t="n"/>
      <c r="C271" s="2" t="n"/>
      <c r="D271" s="2" t="n"/>
      <c r="E271" s="2" t="n"/>
      <c r="F271" s="2" t="n"/>
      <c r="G271" s="2" t="n"/>
      <c r="H271" s="2" t="n"/>
      <c r="I271" s="2" t="n"/>
      <c r="J271" s="3" t="n"/>
      <c r="K271" s="4">
        <f>IF($B271="","",IF($J271&lt;&gt;"",$J271-$B271,TODAY()-$B271))</f>
        <v/>
      </c>
    </row>
    <row r="272">
      <c r="A272" s="2" t="n"/>
      <c r="B272" s="3" t="n"/>
      <c r="C272" s="2" t="n"/>
      <c r="D272" s="2" t="n"/>
      <c r="E272" s="2" t="n"/>
      <c r="F272" s="2" t="n"/>
      <c r="G272" s="2" t="n"/>
      <c r="H272" s="2" t="n"/>
      <c r="I272" s="2" t="n"/>
      <c r="J272" s="3" t="n"/>
      <c r="K272" s="4">
        <f>IF($B272="","",IF($J272&lt;&gt;"",$J272-$B272,TODAY()-$B272))</f>
        <v/>
      </c>
    </row>
    <row r="273">
      <c r="A273" s="2" t="n"/>
      <c r="B273" s="3" t="n"/>
      <c r="C273" s="2" t="n"/>
      <c r="D273" s="2" t="n"/>
      <c r="E273" s="2" t="n"/>
      <c r="F273" s="2" t="n"/>
      <c r="G273" s="2" t="n"/>
      <c r="H273" s="2" t="n"/>
      <c r="I273" s="2" t="n"/>
      <c r="J273" s="3" t="n"/>
      <c r="K273" s="4">
        <f>IF($B273="","",IF($J273&lt;&gt;"",$J273-$B273,TODAY()-$B273))</f>
        <v/>
      </c>
    </row>
    <row r="274">
      <c r="A274" s="2" t="n"/>
      <c r="B274" s="3" t="n"/>
      <c r="C274" s="2" t="n"/>
      <c r="D274" s="2" t="n"/>
      <c r="E274" s="2" t="n"/>
      <c r="F274" s="2" t="n"/>
      <c r="G274" s="2" t="n"/>
      <c r="H274" s="2" t="n"/>
      <c r="I274" s="2" t="n"/>
      <c r="J274" s="3" t="n"/>
      <c r="K274" s="4">
        <f>IF($B274="","",IF($J274&lt;&gt;"",$J274-$B274,TODAY()-$B274))</f>
        <v/>
      </c>
    </row>
    <row r="275">
      <c r="A275" s="2" t="n"/>
      <c r="B275" s="3" t="n"/>
      <c r="C275" s="2" t="n"/>
      <c r="D275" s="2" t="n"/>
      <c r="E275" s="2" t="n"/>
      <c r="F275" s="2" t="n"/>
      <c r="G275" s="2" t="n"/>
      <c r="H275" s="2" t="n"/>
      <c r="I275" s="2" t="n"/>
      <c r="J275" s="3" t="n"/>
      <c r="K275" s="4">
        <f>IF($B275="","",IF($J275&lt;&gt;"",$J275-$B275,TODAY()-$B275))</f>
        <v/>
      </c>
    </row>
    <row r="276">
      <c r="A276" s="2" t="n"/>
      <c r="B276" s="3" t="n"/>
      <c r="C276" s="2" t="n"/>
      <c r="D276" s="2" t="n"/>
      <c r="E276" s="2" t="n"/>
      <c r="F276" s="2" t="n"/>
      <c r="G276" s="2" t="n"/>
      <c r="H276" s="2" t="n"/>
      <c r="I276" s="2" t="n"/>
      <c r="J276" s="3" t="n"/>
      <c r="K276" s="4">
        <f>IF($B276="","",IF($J276&lt;&gt;"",$J276-$B276,TODAY()-$B276))</f>
        <v/>
      </c>
    </row>
    <row r="277">
      <c r="A277" s="2" t="n"/>
      <c r="B277" s="3" t="n"/>
      <c r="C277" s="2" t="n"/>
      <c r="D277" s="2" t="n"/>
      <c r="E277" s="2" t="n"/>
      <c r="F277" s="2" t="n"/>
      <c r="G277" s="2" t="n"/>
      <c r="H277" s="2" t="n"/>
      <c r="I277" s="2" t="n"/>
      <c r="J277" s="3" t="n"/>
      <c r="K277" s="4">
        <f>IF($B277="","",IF($J277&lt;&gt;"",$J277-$B277,TODAY()-$B277))</f>
        <v/>
      </c>
    </row>
    <row r="278">
      <c r="A278" s="2" t="n"/>
      <c r="B278" s="3" t="n"/>
      <c r="C278" s="2" t="n"/>
      <c r="D278" s="2" t="n"/>
      <c r="E278" s="2" t="n"/>
      <c r="F278" s="2" t="n"/>
      <c r="G278" s="2" t="n"/>
      <c r="H278" s="2" t="n"/>
      <c r="I278" s="2" t="n"/>
      <c r="J278" s="3" t="n"/>
      <c r="K278" s="4">
        <f>IF($B278="","",IF($J278&lt;&gt;"",$J278-$B278,TODAY()-$B278))</f>
        <v/>
      </c>
    </row>
    <row r="279">
      <c r="A279" s="2" t="n"/>
      <c r="B279" s="3" t="n"/>
      <c r="C279" s="2" t="n"/>
      <c r="D279" s="2" t="n"/>
      <c r="E279" s="2" t="n"/>
      <c r="F279" s="2" t="n"/>
      <c r="G279" s="2" t="n"/>
      <c r="H279" s="2" t="n"/>
      <c r="I279" s="2" t="n"/>
      <c r="J279" s="3" t="n"/>
      <c r="K279" s="4">
        <f>IF($B279="","",IF($J279&lt;&gt;"",$J279-$B279,TODAY()-$B279))</f>
        <v/>
      </c>
    </row>
    <row r="280">
      <c r="A280" s="2" t="n"/>
      <c r="B280" s="3" t="n"/>
      <c r="C280" s="2" t="n"/>
      <c r="D280" s="2" t="n"/>
      <c r="E280" s="2" t="n"/>
      <c r="F280" s="2" t="n"/>
      <c r="G280" s="2" t="n"/>
      <c r="H280" s="2" t="n"/>
      <c r="I280" s="2" t="n"/>
      <c r="J280" s="3" t="n"/>
      <c r="K280" s="4">
        <f>IF($B280="","",IF($J280&lt;&gt;"",$J280-$B280,TODAY()-$B280))</f>
        <v/>
      </c>
    </row>
    <row r="281">
      <c r="A281" s="2" t="n"/>
      <c r="B281" s="3" t="n"/>
      <c r="C281" s="2" t="n"/>
      <c r="D281" s="2" t="n"/>
      <c r="E281" s="2" t="n"/>
      <c r="F281" s="2" t="n"/>
      <c r="G281" s="2" t="n"/>
      <c r="H281" s="2" t="n"/>
      <c r="I281" s="2" t="n"/>
      <c r="J281" s="3" t="n"/>
      <c r="K281" s="4">
        <f>IF($B281="","",IF($J281&lt;&gt;"",$J281-$B281,TODAY()-$B281))</f>
        <v/>
      </c>
    </row>
    <row r="282">
      <c r="A282" s="2" t="n"/>
      <c r="B282" s="3" t="n"/>
      <c r="C282" s="2" t="n"/>
      <c r="D282" s="2" t="n"/>
      <c r="E282" s="2" t="n"/>
      <c r="F282" s="2" t="n"/>
      <c r="G282" s="2" t="n"/>
      <c r="H282" s="2" t="n"/>
      <c r="I282" s="2" t="n"/>
      <c r="J282" s="3" t="n"/>
      <c r="K282" s="4">
        <f>IF($B282="","",IF($J282&lt;&gt;"",$J282-$B282,TODAY()-$B282))</f>
        <v/>
      </c>
    </row>
    <row r="283">
      <c r="A283" s="2" t="n"/>
      <c r="B283" s="3" t="n"/>
      <c r="C283" s="2" t="n"/>
      <c r="D283" s="2" t="n"/>
      <c r="E283" s="2" t="n"/>
      <c r="F283" s="2" t="n"/>
      <c r="G283" s="2" t="n"/>
      <c r="H283" s="2" t="n"/>
      <c r="I283" s="2" t="n"/>
      <c r="J283" s="3" t="n"/>
      <c r="K283" s="4">
        <f>IF($B283="","",IF($J283&lt;&gt;"",$J283-$B283,TODAY()-$B283))</f>
        <v/>
      </c>
    </row>
    <row r="284">
      <c r="A284" s="2" t="n"/>
      <c r="B284" s="3" t="n"/>
      <c r="C284" s="2" t="n"/>
      <c r="D284" s="2" t="n"/>
      <c r="E284" s="2" t="n"/>
      <c r="F284" s="2" t="n"/>
      <c r="G284" s="2" t="n"/>
      <c r="H284" s="2" t="n"/>
      <c r="I284" s="2" t="n"/>
      <c r="J284" s="3" t="n"/>
      <c r="K284" s="4">
        <f>IF($B284="","",IF($J284&lt;&gt;"",$J284-$B284,TODAY()-$B284))</f>
        <v/>
      </c>
    </row>
    <row r="285">
      <c r="A285" s="2" t="n"/>
      <c r="B285" s="3" t="n"/>
      <c r="C285" s="2" t="n"/>
      <c r="D285" s="2" t="n"/>
      <c r="E285" s="2" t="n"/>
      <c r="F285" s="2" t="n"/>
      <c r="G285" s="2" t="n"/>
      <c r="H285" s="2" t="n"/>
      <c r="I285" s="2" t="n"/>
      <c r="J285" s="3" t="n"/>
      <c r="K285" s="4">
        <f>IF($B285="","",IF($J285&lt;&gt;"",$J285-$B285,TODAY()-$B285))</f>
        <v/>
      </c>
    </row>
    <row r="286">
      <c r="A286" s="2" t="n"/>
      <c r="B286" s="3" t="n"/>
      <c r="C286" s="2" t="n"/>
      <c r="D286" s="2" t="n"/>
      <c r="E286" s="2" t="n"/>
      <c r="F286" s="2" t="n"/>
      <c r="G286" s="2" t="n"/>
      <c r="H286" s="2" t="n"/>
      <c r="I286" s="2" t="n"/>
      <c r="J286" s="3" t="n"/>
      <c r="K286" s="4">
        <f>IF($B286="","",IF($J286&lt;&gt;"",$J286-$B286,TODAY()-$B286))</f>
        <v/>
      </c>
    </row>
    <row r="287">
      <c r="A287" s="2" t="n"/>
      <c r="B287" s="3" t="n"/>
      <c r="C287" s="2" t="n"/>
      <c r="D287" s="2" t="n"/>
      <c r="E287" s="2" t="n"/>
      <c r="F287" s="2" t="n"/>
      <c r="G287" s="2" t="n"/>
      <c r="H287" s="2" t="n"/>
      <c r="I287" s="2" t="n"/>
      <c r="J287" s="3" t="n"/>
      <c r="K287" s="4">
        <f>IF($B287="","",IF($J287&lt;&gt;"",$J287-$B287,TODAY()-$B287))</f>
        <v/>
      </c>
    </row>
    <row r="288">
      <c r="A288" s="2" t="n"/>
      <c r="B288" s="3" t="n"/>
      <c r="C288" s="2" t="n"/>
      <c r="D288" s="2" t="n"/>
      <c r="E288" s="2" t="n"/>
      <c r="F288" s="2" t="n"/>
      <c r="G288" s="2" t="n"/>
      <c r="H288" s="2" t="n"/>
      <c r="I288" s="2" t="n"/>
      <c r="J288" s="3" t="n"/>
      <c r="K288" s="4">
        <f>IF($B288="","",IF($J288&lt;&gt;"",$J288-$B288,TODAY()-$B288))</f>
        <v/>
      </c>
    </row>
    <row r="289">
      <c r="A289" s="2" t="n"/>
      <c r="B289" s="3" t="n"/>
      <c r="C289" s="2" t="n"/>
      <c r="D289" s="2" t="n"/>
      <c r="E289" s="2" t="n"/>
      <c r="F289" s="2" t="n"/>
      <c r="G289" s="2" t="n"/>
      <c r="H289" s="2" t="n"/>
      <c r="I289" s="2" t="n"/>
      <c r="J289" s="3" t="n"/>
      <c r="K289" s="4">
        <f>IF($B289="","",IF($J289&lt;&gt;"",$J289-$B289,TODAY()-$B289))</f>
        <v/>
      </c>
    </row>
    <row r="290">
      <c r="A290" s="2" t="n"/>
      <c r="B290" s="3" t="n"/>
      <c r="C290" s="2" t="n"/>
      <c r="D290" s="2" t="n"/>
      <c r="E290" s="2" t="n"/>
      <c r="F290" s="2" t="n"/>
      <c r="G290" s="2" t="n"/>
      <c r="H290" s="2" t="n"/>
      <c r="I290" s="2" t="n"/>
      <c r="J290" s="3" t="n"/>
      <c r="K290" s="4">
        <f>IF($B290="","",IF($J290&lt;&gt;"",$J290-$B290,TODAY()-$B290))</f>
        <v/>
      </c>
    </row>
    <row r="291">
      <c r="A291" s="2" t="n"/>
      <c r="B291" s="3" t="n"/>
      <c r="C291" s="2" t="n"/>
      <c r="D291" s="2" t="n"/>
      <c r="E291" s="2" t="n"/>
      <c r="F291" s="2" t="n"/>
      <c r="G291" s="2" t="n"/>
      <c r="H291" s="2" t="n"/>
      <c r="I291" s="2" t="n"/>
      <c r="J291" s="3" t="n"/>
      <c r="K291" s="4">
        <f>IF($B291="","",IF($J291&lt;&gt;"",$J291-$B291,TODAY()-$B291))</f>
        <v/>
      </c>
    </row>
    <row r="292">
      <c r="A292" s="2" t="n"/>
      <c r="B292" s="3" t="n"/>
      <c r="C292" s="2" t="n"/>
      <c r="D292" s="2" t="n"/>
      <c r="E292" s="2" t="n"/>
      <c r="F292" s="2" t="n"/>
      <c r="G292" s="2" t="n"/>
      <c r="H292" s="2" t="n"/>
      <c r="I292" s="2" t="n"/>
      <c r="J292" s="3" t="n"/>
      <c r="K292" s="4">
        <f>IF($B292="","",IF($J292&lt;&gt;"",$J292-$B292,TODAY()-$B292))</f>
        <v/>
      </c>
    </row>
    <row r="293">
      <c r="A293" s="2" t="n"/>
      <c r="B293" s="3" t="n"/>
      <c r="C293" s="2" t="n"/>
      <c r="D293" s="2" t="n"/>
      <c r="E293" s="2" t="n"/>
      <c r="F293" s="2" t="n"/>
      <c r="G293" s="2" t="n"/>
      <c r="H293" s="2" t="n"/>
      <c r="I293" s="2" t="n"/>
      <c r="J293" s="3" t="n"/>
      <c r="K293" s="4">
        <f>IF($B293="","",IF($J293&lt;&gt;"",$J293-$B293,TODAY()-$B293))</f>
        <v/>
      </c>
    </row>
    <row r="294">
      <c r="A294" s="2" t="n"/>
      <c r="B294" s="3" t="n"/>
      <c r="C294" s="2" t="n"/>
      <c r="D294" s="2" t="n"/>
      <c r="E294" s="2" t="n"/>
      <c r="F294" s="2" t="n"/>
      <c r="G294" s="2" t="n"/>
      <c r="H294" s="2" t="n"/>
      <c r="I294" s="2" t="n"/>
      <c r="J294" s="3" t="n"/>
      <c r="K294" s="4">
        <f>IF($B294="","",IF($J294&lt;&gt;"",$J294-$B294,TODAY()-$B294))</f>
        <v/>
      </c>
    </row>
    <row r="295">
      <c r="A295" s="2" t="n"/>
      <c r="B295" s="3" t="n"/>
      <c r="C295" s="2" t="n"/>
      <c r="D295" s="2" t="n"/>
      <c r="E295" s="2" t="n"/>
      <c r="F295" s="2" t="n"/>
      <c r="G295" s="2" t="n"/>
      <c r="H295" s="2" t="n"/>
      <c r="I295" s="2" t="n"/>
      <c r="J295" s="3" t="n"/>
      <c r="K295" s="4">
        <f>IF($B295="","",IF($J295&lt;&gt;"",$J295-$B295,TODAY()-$B295))</f>
        <v/>
      </c>
    </row>
    <row r="296">
      <c r="A296" s="2" t="n"/>
      <c r="B296" s="3" t="n"/>
      <c r="C296" s="2" t="n"/>
      <c r="D296" s="2" t="n"/>
      <c r="E296" s="2" t="n"/>
      <c r="F296" s="2" t="n"/>
      <c r="G296" s="2" t="n"/>
      <c r="H296" s="2" t="n"/>
      <c r="I296" s="2" t="n"/>
      <c r="J296" s="3" t="n"/>
      <c r="K296" s="4">
        <f>IF($B296="","",IF($J296&lt;&gt;"",$J296-$B296,TODAY()-$B296))</f>
        <v/>
      </c>
    </row>
    <row r="297">
      <c r="A297" s="2" t="n"/>
      <c r="B297" s="3" t="n"/>
      <c r="C297" s="2" t="n"/>
      <c r="D297" s="2" t="n"/>
      <c r="E297" s="2" t="n"/>
      <c r="F297" s="2" t="n"/>
      <c r="G297" s="2" t="n"/>
      <c r="H297" s="2" t="n"/>
      <c r="I297" s="2" t="n"/>
      <c r="J297" s="3" t="n"/>
      <c r="K297" s="4">
        <f>IF($B297="","",IF($J297&lt;&gt;"",$J297-$B297,TODAY()-$B297))</f>
        <v/>
      </c>
    </row>
    <row r="298">
      <c r="A298" s="2" t="n"/>
      <c r="B298" s="3" t="n"/>
      <c r="C298" s="2" t="n"/>
      <c r="D298" s="2" t="n"/>
      <c r="E298" s="2" t="n"/>
      <c r="F298" s="2" t="n"/>
      <c r="G298" s="2" t="n"/>
      <c r="H298" s="2" t="n"/>
      <c r="I298" s="2" t="n"/>
      <c r="J298" s="3" t="n"/>
      <c r="K298" s="4">
        <f>IF($B298="","",IF($J298&lt;&gt;"",$J298-$B298,TODAY()-$B298))</f>
        <v/>
      </c>
    </row>
    <row r="299">
      <c r="A299" s="2" t="n"/>
      <c r="B299" s="3" t="n"/>
      <c r="C299" s="2" t="n"/>
      <c r="D299" s="2" t="n"/>
      <c r="E299" s="2" t="n"/>
      <c r="F299" s="2" t="n"/>
      <c r="G299" s="2" t="n"/>
      <c r="H299" s="2" t="n"/>
      <c r="I299" s="2" t="n"/>
      <c r="J299" s="3" t="n"/>
      <c r="K299" s="4">
        <f>IF($B299="","",IF($J299&lt;&gt;"",$J299-$B299,TODAY()-$B299))</f>
        <v/>
      </c>
    </row>
    <row r="300">
      <c r="A300" s="2" t="n"/>
      <c r="B300" s="3" t="n"/>
      <c r="C300" s="2" t="n"/>
      <c r="D300" s="2" t="n"/>
      <c r="E300" s="2" t="n"/>
      <c r="F300" s="2" t="n"/>
      <c r="G300" s="2" t="n"/>
      <c r="H300" s="2" t="n"/>
      <c r="I300" s="2" t="n"/>
      <c r="J300" s="3" t="n"/>
      <c r="K300" s="4">
        <f>IF($B300="","",IF($J300&lt;&gt;"",$J300-$B300,TODAY()-$B300))</f>
        <v/>
      </c>
    </row>
    <row r="301">
      <c r="A301" s="2" t="n"/>
      <c r="B301" s="3" t="n"/>
      <c r="C301" s="2" t="n"/>
      <c r="D301" s="2" t="n"/>
      <c r="E301" s="2" t="n"/>
      <c r="F301" s="2" t="n"/>
      <c r="G301" s="2" t="n"/>
      <c r="H301" s="2" t="n"/>
      <c r="I301" s="2" t="n"/>
      <c r="J301" s="3" t="n"/>
      <c r="K301" s="4">
        <f>IF($B301="","",IF($J301&lt;&gt;"",$J301-$B301,TODAY()-$B301))</f>
        <v/>
      </c>
    </row>
    <row r="302">
      <c r="A302" s="2" t="n"/>
      <c r="B302" s="3" t="n"/>
      <c r="C302" s="2" t="n"/>
      <c r="D302" s="2" t="n"/>
      <c r="E302" s="2" t="n"/>
      <c r="F302" s="2" t="n"/>
      <c r="G302" s="2" t="n"/>
      <c r="H302" s="2" t="n"/>
      <c r="I302" s="2" t="n"/>
      <c r="J302" s="3" t="n"/>
      <c r="K302" s="4">
        <f>IF($B302="","",IF($J302&lt;&gt;"",$J302-$B302,TODAY()-$B302))</f>
        <v/>
      </c>
    </row>
    <row r="303">
      <c r="A303" s="2" t="n"/>
      <c r="B303" s="3" t="n"/>
      <c r="C303" s="2" t="n"/>
      <c r="D303" s="2" t="n"/>
      <c r="E303" s="2" t="n"/>
      <c r="F303" s="2" t="n"/>
      <c r="G303" s="2" t="n"/>
      <c r="H303" s="2" t="n"/>
      <c r="I303" s="2" t="n"/>
      <c r="J303" s="3" t="n"/>
      <c r="K303" s="4">
        <f>IF($B303="","",IF($J303&lt;&gt;"",$J303-$B303,TODAY()-$B303))</f>
        <v/>
      </c>
    </row>
    <row r="304">
      <c r="A304" s="2" t="n"/>
      <c r="B304" s="3" t="n"/>
      <c r="C304" s="2" t="n"/>
      <c r="D304" s="2" t="n"/>
      <c r="E304" s="2" t="n"/>
      <c r="F304" s="2" t="n"/>
      <c r="G304" s="2" t="n"/>
      <c r="H304" s="2" t="n"/>
      <c r="I304" s="2" t="n"/>
      <c r="J304" s="3" t="n"/>
      <c r="K304" s="4">
        <f>IF($B304="","",IF($J304&lt;&gt;"",$J304-$B304,TODAY()-$B304))</f>
        <v/>
      </c>
    </row>
    <row r="305">
      <c r="A305" s="2" t="n"/>
      <c r="B305" s="3" t="n"/>
      <c r="C305" s="2" t="n"/>
      <c r="D305" s="2" t="n"/>
      <c r="E305" s="2" t="n"/>
      <c r="F305" s="2" t="n"/>
      <c r="G305" s="2" t="n"/>
      <c r="H305" s="2" t="n"/>
      <c r="I305" s="2" t="n"/>
      <c r="J305" s="3" t="n"/>
      <c r="K305" s="4">
        <f>IF($B305="","",IF($J305&lt;&gt;"",$J305-$B305,TODAY()-$B305))</f>
        <v/>
      </c>
    </row>
    <row r="306">
      <c r="A306" s="2" t="n"/>
      <c r="B306" s="3" t="n"/>
      <c r="C306" s="2" t="n"/>
      <c r="D306" s="2" t="n"/>
      <c r="E306" s="2" t="n"/>
      <c r="F306" s="2" t="n"/>
      <c r="G306" s="2" t="n"/>
      <c r="H306" s="2" t="n"/>
      <c r="I306" s="2" t="n"/>
      <c r="J306" s="3" t="n"/>
      <c r="K306" s="4">
        <f>IF($B306="","",IF($J306&lt;&gt;"",$J306-$B306,TODAY()-$B306))</f>
        <v/>
      </c>
    </row>
    <row r="307">
      <c r="A307" s="2" t="n"/>
      <c r="B307" s="3" t="n"/>
      <c r="C307" s="2" t="n"/>
      <c r="D307" s="2" t="n"/>
      <c r="E307" s="2" t="n"/>
      <c r="F307" s="2" t="n"/>
      <c r="G307" s="2" t="n"/>
      <c r="H307" s="2" t="n"/>
      <c r="I307" s="2" t="n"/>
      <c r="J307" s="3" t="n"/>
      <c r="K307" s="4">
        <f>IF($B307="","",IF($J307&lt;&gt;"",$J307-$B307,TODAY()-$B307))</f>
        <v/>
      </c>
    </row>
    <row r="308">
      <c r="A308" s="2" t="n"/>
      <c r="B308" s="3" t="n"/>
      <c r="C308" s="2" t="n"/>
      <c r="D308" s="2" t="n"/>
      <c r="E308" s="2" t="n"/>
      <c r="F308" s="2" t="n"/>
      <c r="G308" s="2" t="n"/>
      <c r="H308" s="2" t="n"/>
      <c r="I308" s="2" t="n"/>
      <c r="J308" s="3" t="n"/>
      <c r="K308" s="4">
        <f>IF($B308="","",IF($J308&lt;&gt;"",$J308-$B308,TODAY()-$B308))</f>
        <v/>
      </c>
    </row>
    <row r="309">
      <c r="A309" s="2" t="n"/>
      <c r="B309" s="3" t="n"/>
      <c r="C309" s="2" t="n"/>
      <c r="D309" s="2" t="n"/>
      <c r="E309" s="2" t="n"/>
      <c r="F309" s="2" t="n"/>
      <c r="G309" s="2" t="n"/>
      <c r="H309" s="2" t="n"/>
      <c r="I309" s="2" t="n"/>
      <c r="J309" s="3" t="n"/>
      <c r="K309" s="4">
        <f>IF($B309="","",IF($J309&lt;&gt;"",$J309-$B309,TODAY()-$B309))</f>
        <v/>
      </c>
    </row>
    <row r="310">
      <c r="A310" s="2" t="n"/>
      <c r="B310" s="3" t="n"/>
      <c r="C310" s="2" t="n"/>
      <c r="D310" s="2" t="n"/>
      <c r="E310" s="2" t="n"/>
      <c r="F310" s="2" t="n"/>
      <c r="G310" s="2" t="n"/>
      <c r="H310" s="2" t="n"/>
      <c r="I310" s="2" t="n"/>
      <c r="J310" s="3" t="n"/>
      <c r="K310" s="4">
        <f>IF($B310="","",IF($J310&lt;&gt;"",$J310-$B310,TODAY()-$B310))</f>
        <v/>
      </c>
    </row>
    <row r="311">
      <c r="A311" s="2" t="n"/>
      <c r="B311" s="3" t="n"/>
      <c r="C311" s="2" t="n"/>
      <c r="D311" s="2" t="n"/>
      <c r="E311" s="2" t="n"/>
      <c r="F311" s="2" t="n"/>
      <c r="G311" s="2" t="n"/>
      <c r="H311" s="2" t="n"/>
      <c r="I311" s="2" t="n"/>
      <c r="J311" s="3" t="n"/>
      <c r="K311" s="4">
        <f>IF($B311="","",IF($J311&lt;&gt;"",$J311-$B311,TODAY()-$B311))</f>
        <v/>
      </c>
    </row>
    <row r="312">
      <c r="A312" s="2" t="n"/>
      <c r="B312" s="3" t="n"/>
      <c r="C312" s="2" t="n"/>
      <c r="D312" s="2" t="n"/>
      <c r="E312" s="2" t="n"/>
      <c r="F312" s="2" t="n"/>
      <c r="G312" s="2" t="n"/>
      <c r="H312" s="2" t="n"/>
      <c r="I312" s="2" t="n"/>
      <c r="J312" s="3" t="n"/>
      <c r="K312" s="4">
        <f>IF($B312="","",IF($J312&lt;&gt;"",$J312-$B312,TODAY()-$B312))</f>
        <v/>
      </c>
    </row>
    <row r="313">
      <c r="A313" s="2" t="n"/>
      <c r="B313" s="3" t="n"/>
      <c r="C313" s="2" t="n"/>
      <c r="D313" s="2" t="n"/>
      <c r="E313" s="2" t="n"/>
      <c r="F313" s="2" t="n"/>
      <c r="G313" s="2" t="n"/>
      <c r="H313" s="2" t="n"/>
      <c r="I313" s="2" t="n"/>
      <c r="J313" s="3" t="n"/>
      <c r="K313" s="4">
        <f>IF($B313="","",IF($J313&lt;&gt;"",$J313-$B313,TODAY()-$B313))</f>
        <v/>
      </c>
    </row>
    <row r="314">
      <c r="A314" s="2" t="n"/>
      <c r="B314" s="3" t="n"/>
      <c r="C314" s="2" t="n"/>
      <c r="D314" s="2" t="n"/>
      <c r="E314" s="2" t="n"/>
      <c r="F314" s="2" t="n"/>
      <c r="G314" s="2" t="n"/>
      <c r="H314" s="2" t="n"/>
      <c r="I314" s="2" t="n"/>
      <c r="J314" s="3" t="n"/>
      <c r="K314" s="4">
        <f>IF($B314="","",IF($J314&lt;&gt;"",$J314-$B314,TODAY()-$B314))</f>
        <v/>
      </c>
    </row>
    <row r="315">
      <c r="A315" s="2" t="n"/>
      <c r="B315" s="3" t="n"/>
      <c r="C315" s="2" t="n"/>
      <c r="D315" s="2" t="n"/>
      <c r="E315" s="2" t="n"/>
      <c r="F315" s="2" t="n"/>
      <c r="G315" s="2" t="n"/>
      <c r="H315" s="2" t="n"/>
      <c r="I315" s="2" t="n"/>
      <c r="J315" s="3" t="n"/>
      <c r="K315" s="4">
        <f>IF($B315="","",IF($J315&lt;&gt;"",$J315-$B315,TODAY()-$B315))</f>
        <v/>
      </c>
    </row>
    <row r="316">
      <c r="A316" s="2" t="n"/>
      <c r="B316" s="3" t="n"/>
      <c r="C316" s="2" t="n"/>
      <c r="D316" s="2" t="n"/>
      <c r="E316" s="2" t="n"/>
      <c r="F316" s="2" t="n"/>
      <c r="G316" s="2" t="n"/>
      <c r="H316" s="2" t="n"/>
      <c r="I316" s="2" t="n"/>
      <c r="J316" s="3" t="n"/>
      <c r="K316" s="4">
        <f>IF($B316="","",IF($J316&lt;&gt;"",$J316-$B316,TODAY()-$B316))</f>
        <v/>
      </c>
    </row>
    <row r="317">
      <c r="A317" s="2" t="n"/>
      <c r="B317" s="3" t="n"/>
      <c r="C317" s="2" t="n"/>
      <c r="D317" s="2" t="n"/>
      <c r="E317" s="2" t="n"/>
      <c r="F317" s="2" t="n"/>
      <c r="G317" s="2" t="n"/>
      <c r="H317" s="2" t="n"/>
      <c r="I317" s="2" t="n"/>
      <c r="J317" s="3" t="n"/>
      <c r="K317" s="4">
        <f>IF($B317="","",IF($J317&lt;&gt;"",$J317-$B317,TODAY()-$B317))</f>
        <v/>
      </c>
    </row>
    <row r="318">
      <c r="A318" s="2" t="n"/>
      <c r="B318" s="3" t="n"/>
      <c r="C318" s="2" t="n"/>
      <c r="D318" s="2" t="n"/>
      <c r="E318" s="2" t="n"/>
      <c r="F318" s="2" t="n"/>
      <c r="G318" s="2" t="n"/>
      <c r="H318" s="2" t="n"/>
      <c r="I318" s="2" t="n"/>
      <c r="J318" s="3" t="n"/>
      <c r="K318" s="4">
        <f>IF($B318="","",IF($J318&lt;&gt;"",$J318-$B318,TODAY()-$B318))</f>
        <v/>
      </c>
    </row>
    <row r="319">
      <c r="A319" s="2" t="n"/>
      <c r="B319" s="3" t="n"/>
      <c r="C319" s="2" t="n"/>
      <c r="D319" s="2" t="n"/>
      <c r="E319" s="2" t="n"/>
      <c r="F319" s="2" t="n"/>
      <c r="G319" s="2" t="n"/>
      <c r="H319" s="2" t="n"/>
      <c r="I319" s="2" t="n"/>
      <c r="J319" s="3" t="n"/>
      <c r="K319" s="4">
        <f>IF($B319="","",IF($J319&lt;&gt;"",$J319-$B319,TODAY()-$B319))</f>
        <v/>
      </c>
    </row>
    <row r="320">
      <c r="A320" s="2" t="n"/>
      <c r="B320" s="3" t="n"/>
      <c r="C320" s="2" t="n"/>
      <c r="D320" s="2" t="n"/>
      <c r="E320" s="2" t="n"/>
      <c r="F320" s="2" t="n"/>
      <c r="G320" s="2" t="n"/>
      <c r="H320" s="2" t="n"/>
      <c r="I320" s="2" t="n"/>
      <c r="J320" s="3" t="n"/>
      <c r="K320" s="4">
        <f>IF($B320="","",IF($J320&lt;&gt;"",$J320-$B320,TODAY()-$B320))</f>
        <v/>
      </c>
    </row>
    <row r="321">
      <c r="A321" s="2" t="n"/>
      <c r="B321" s="3" t="n"/>
      <c r="C321" s="2" t="n"/>
      <c r="D321" s="2" t="n"/>
      <c r="E321" s="2" t="n"/>
      <c r="F321" s="2" t="n"/>
      <c r="G321" s="2" t="n"/>
      <c r="H321" s="2" t="n"/>
      <c r="I321" s="2" t="n"/>
      <c r="J321" s="3" t="n"/>
      <c r="K321" s="4">
        <f>IF($B321="","",IF($J321&lt;&gt;"",$J321-$B321,TODAY()-$B321))</f>
        <v/>
      </c>
    </row>
    <row r="322">
      <c r="A322" s="2" t="n"/>
      <c r="B322" s="3" t="n"/>
      <c r="C322" s="2" t="n"/>
      <c r="D322" s="2" t="n"/>
      <c r="E322" s="2" t="n"/>
      <c r="F322" s="2" t="n"/>
      <c r="G322" s="2" t="n"/>
      <c r="H322" s="2" t="n"/>
      <c r="I322" s="2" t="n"/>
      <c r="J322" s="3" t="n"/>
      <c r="K322" s="4">
        <f>IF($B322="","",IF($J322&lt;&gt;"",$J322-$B322,TODAY()-$B322))</f>
        <v/>
      </c>
    </row>
    <row r="323">
      <c r="A323" s="2" t="n"/>
      <c r="B323" s="3" t="n"/>
      <c r="C323" s="2" t="n"/>
      <c r="D323" s="2" t="n"/>
      <c r="E323" s="2" t="n"/>
      <c r="F323" s="2" t="n"/>
      <c r="G323" s="2" t="n"/>
      <c r="H323" s="2" t="n"/>
      <c r="I323" s="2" t="n"/>
      <c r="J323" s="3" t="n"/>
      <c r="K323" s="4">
        <f>IF($B323="","",IF($J323&lt;&gt;"",$J323-$B323,TODAY()-$B323))</f>
        <v/>
      </c>
    </row>
    <row r="324">
      <c r="A324" s="2" t="n"/>
      <c r="B324" s="3" t="n"/>
      <c r="C324" s="2" t="n"/>
      <c r="D324" s="2" t="n"/>
      <c r="E324" s="2" t="n"/>
      <c r="F324" s="2" t="n"/>
      <c r="G324" s="2" t="n"/>
      <c r="H324" s="2" t="n"/>
      <c r="I324" s="2" t="n"/>
      <c r="J324" s="3" t="n"/>
      <c r="K324" s="4">
        <f>IF($B324="","",IF($J324&lt;&gt;"",$J324-$B324,TODAY()-$B324))</f>
        <v/>
      </c>
    </row>
    <row r="325">
      <c r="A325" s="2" t="n"/>
      <c r="B325" s="3" t="n"/>
      <c r="C325" s="2" t="n"/>
      <c r="D325" s="2" t="n"/>
      <c r="E325" s="2" t="n"/>
      <c r="F325" s="2" t="n"/>
      <c r="G325" s="2" t="n"/>
      <c r="H325" s="2" t="n"/>
      <c r="I325" s="2" t="n"/>
      <c r="J325" s="3" t="n"/>
      <c r="K325" s="4">
        <f>IF($B325="","",IF($J325&lt;&gt;"",$J325-$B325,TODAY()-$B325))</f>
        <v/>
      </c>
    </row>
    <row r="326">
      <c r="A326" s="2" t="n"/>
      <c r="B326" s="3" t="n"/>
      <c r="C326" s="2" t="n"/>
      <c r="D326" s="2" t="n"/>
      <c r="E326" s="2" t="n"/>
      <c r="F326" s="2" t="n"/>
      <c r="G326" s="2" t="n"/>
      <c r="H326" s="2" t="n"/>
      <c r="I326" s="2" t="n"/>
      <c r="J326" s="3" t="n"/>
      <c r="K326" s="4">
        <f>IF($B326="","",IF($J326&lt;&gt;"",$J326-$B326,TODAY()-$B326))</f>
        <v/>
      </c>
    </row>
    <row r="327">
      <c r="A327" s="2" t="n"/>
      <c r="B327" s="3" t="n"/>
      <c r="C327" s="2" t="n"/>
      <c r="D327" s="2" t="n"/>
      <c r="E327" s="2" t="n"/>
      <c r="F327" s="2" t="n"/>
      <c r="G327" s="2" t="n"/>
      <c r="H327" s="2" t="n"/>
      <c r="I327" s="2" t="n"/>
      <c r="J327" s="3" t="n"/>
      <c r="K327" s="4">
        <f>IF($B327="","",IF($J327&lt;&gt;"",$J327-$B327,TODAY()-$B327))</f>
        <v/>
      </c>
    </row>
    <row r="328">
      <c r="A328" s="2" t="n"/>
      <c r="B328" s="3" t="n"/>
      <c r="C328" s="2" t="n"/>
      <c r="D328" s="2" t="n"/>
      <c r="E328" s="2" t="n"/>
      <c r="F328" s="2" t="n"/>
      <c r="G328" s="2" t="n"/>
      <c r="H328" s="2" t="n"/>
      <c r="I328" s="2" t="n"/>
      <c r="J328" s="3" t="n"/>
      <c r="K328" s="4">
        <f>IF($B328="","",IF($J328&lt;&gt;"",$J328-$B328,TODAY()-$B328))</f>
        <v/>
      </c>
    </row>
    <row r="329">
      <c r="A329" s="2" t="n"/>
      <c r="B329" s="3" t="n"/>
      <c r="C329" s="2" t="n"/>
      <c r="D329" s="2" t="n"/>
      <c r="E329" s="2" t="n"/>
      <c r="F329" s="2" t="n"/>
      <c r="G329" s="2" t="n"/>
      <c r="H329" s="2" t="n"/>
      <c r="I329" s="2" t="n"/>
      <c r="J329" s="3" t="n"/>
      <c r="K329" s="4">
        <f>IF($B329="","",IF($J329&lt;&gt;"",$J329-$B329,TODAY()-$B329))</f>
        <v/>
      </c>
    </row>
    <row r="330">
      <c r="A330" s="2" t="n"/>
      <c r="B330" s="3" t="n"/>
      <c r="C330" s="2" t="n"/>
      <c r="D330" s="2" t="n"/>
      <c r="E330" s="2" t="n"/>
      <c r="F330" s="2" t="n"/>
      <c r="G330" s="2" t="n"/>
      <c r="H330" s="2" t="n"/>
      <c r="I330" s="2" t="n"/>
      <c r="J330" s="3" t="n"/>
      <c r="K330" s="4">
        <f>IF($B330="","",IF($J330&lt;&gt;"",$J330-$B330,TODAY()-$B330))</f>
        <v/>
      </c>
    </row>
    <row r="331">
      <c r="A331" s="2" t="n"/>
      <c r="B331" s="3" t="n"/>
      <c r="C331" s="2" t="n"/>
      <c r="D331" s="2" t="n"/>
      <c r="E331" s="2" t="n"/>
      <c r="F331" s="2" t="n"/>
      <c r="G331" s="2" t="n"/>
      <c r="H331" s="2" t="n"/>
      <c r="I331" s="2" t="n"/>
      <c r="J331" s="3" t="n"/>
      <c r="K331" s="4">
        <f>IF($B331="","",IF($J331&lt;&gt;"",$J331-$B331,TODAY()-$B331))</f>
        <v/>
      </c>
    </row>
    <row r="332">
      <c r="A332" s="2" t="n"/>
      <c r="B332" s="3" t="n"/>
      <c r="C332" s="2" t="n"/>
      <c r="D332" s="2" t="n"/>
      <c r="E332" s="2" t="n"/>
      <c r="F332" s="2" t="n"/>
      <c r="G332" s="2" t="n"/>
      <c r="H332" s="2" t="n"/>
      <c r="I332" s="2" t="n"/>
      <c r="J332" s="3" t="n"/>
      <c r="K332" s="4">
        <f>IF($B332="","",IF($J332&lt;&gt;"",$J332-$B332,TODAY()-$B332))</f>
        <v/>
      </c>
    </row>
    <row r="333">
      <c r="A333" s="2" t="n"/>
      <c r="B333" s="3" t="n"/>
      <c r="C333" s="2" t="n"/>
      <c r="D333" s="2" t="n"/>
      <c r="E333" s="2" t="n"/>
      <c r="F333" s="2" t="n"/>
      <c r="G333" s="2" t="n"/>
      <c r="H333" s="2" t="n"/>
      <c r="I333" s="2" t="n"/>
      <c r="J333" s="3" t="n"/>
      <c r="K333" s="4">
        <f>IF($B333="","",IF($J333&lt;&gt;"",$J333-$B333,TODAY()-$B333))</f>
        <v/>
      </c>
    </row>
    <row r="334">
      <c r="A334" s="2" t="n"/>
      <c r="B334" s="3" t="n"/>
      <c r="C334" s="2" t="n"/>
      <c r="D334" s="2" t="n"/>
      <c r="E334" s="2" t="n"/>
      <c r="F334" s="2" t="n"/>
      <c r="G334" s="2" t="n"/>
      <c r="H334" s="2" t="n"/>
      <c r="I334" s="2" t="n"/>
      <c r="J334" s="3" t="n"/>
      <c r="K334" s="4">
        <f>IF($B334="","",IF($J334&lt;&gt;"",$J334-$B334,TODAY()-$B334))</f>
        <v/>
      </c>
    </row>
    <row r="335">
      <c r="A335" s="2" t="n"/>
      <c r="B335" s="3" t="n"/>
      <c r="C335" s="2" t="n"/>
      <c r="D335" s="2" t="n"/>
      <c r="E335" s="2" t="n"/>
      <c r="F335" s="2" t="n"/>
      <c r="G335" s="2" t="n"/>
      <c r="H335" s="2" t="n"/>
      <c r="I335" s="2" t="n"/>
      <c r="J335" s="3" t="n"/>
      <c r="K335" s="4">
        <f>IF($B335="","",IF($J335&lt;&gt;"",$J335-$B335,TODAY()-$B335))</f>
        <v/>
      </c>
    </row>
    <row r="336">
      <c r="A336" s="2" t="n"/>
      <c r="B336" s="3" t="n"/>
      <c r="C336" s="2" t="n"/>
      <c r="D336" s="2" t="n"/>
      <c r="E336" s="2" t="n"/>
      <c r="F336" s="2" t="n"/>
      <c r="G336" s="2" t="n"/>
      <c r="H336" s="2" t="n"/>
      <c r="I336" s="2" t="n"/>
      <c r="J336" s="3" t="n"/>
      <c r="K336" s="4">
        <f>IF($B336="","",IF($J336&lt;&gt;"",$J336-$B336,TODAY()-$B336))</f>
        <v/>
      </c>
    </row>
    <row r="337">
      <c r="A337" s="2" t="n"/>
      <c r="B337" s="3" t="n"/>
      <c r="C337" s="2" t="n"/>
      <c r="D337" s="2" t="n"/>
      <c r="E337" s="2" t="n"/>
      <c r="F337" s="2" t="n"/>
      <c r="G337" s="2" t="n"/>
      <c r="H337" s="2" t="n"/>
      <c r="I337" s="2" t="n"/>
      <c r="J337" s="3" t="n"/>
      <c r="K337" s="4">
        <f>IF($B337="","",IF($J337&lt;&gt;"",$J337-$B337,TODAY()-$B337))</f>
        <v/>
      </c>
    </row>
    <row r="338">
      <c r="A338" s="2" t="n"/>
      <c r="B338" s="3" t="n"/>
      <c r="C338" s="2" t="n"/>
      <c r="D338" s="2" t="n"/>
      <c r="E338" s="2" t="n"/>
      <c r="F338" s="2" t="n"/>
      <c r="G338" s="2" t="n"/>
      <c r="H338" s="2" t="n"/>
      <c r="I338" s="2" t="n"/>
      <c r="J338" s="3" t="n"/>
      <c r="K338" s="4">
        <f>IF($B338="","",IF($J338&lt;&gt;"",$J338-$B338,TODAY()-$B338))</f>
        <v/>
      </c>
    </row>
    <row r="339">
      <c r="A339" s="2" t="n"/>
      <c r="B339" s="3" t="n"/>
      <c r="C339" s="2" t="n"/>
      <c r="D339" s="2" t="n"/>
      <c r="E339" s="2" t="n"/>
      <c r="F339" s="2" t="n"/>
      <c r="G339" s="2" t="n"/>
      <c r="H339" s="2" t="n"/>
      <c r="I339" s="2" t="n"/>
      <c r="J339" s="3" t="n"/>
      <c r="K339" s="4">
        <f>IF($B339="","",IF($J339&lt;&gt;"",$J339-$B339,TODAY()-$B339))</f>
        <v/>
      </c>
    </row>
    <row r="340">
      <c r="A340" s="2" t="n"/>
      <c r="B340" s="3" t="n"/>
      <c r="C340" s="2" t="n"/>
      <c r="D340" s="2" t="n"/>
      <c r="E340" s="2" t="n"/>
      <c r="F340" s="2" t="n"/>
      <c r="G340" s="2" t="n"/>
      <c r="H340" s="2" t="n"/>
      <c r="I340" s="2" t="n"/>
      <c r="J340" s="3" t="n"/>
      <c r="K340" s="4">
        <f>IF($B340="","",IF($J340&lt;&gt;"",$J340-$B340,TODAY()-$B340))</f>
        <v/>
      </c>
    </row>
    <row r="341">
      <c r="A341" s="2" t="n"/>
      <c r="B341" s="3" t="n"/>
      <c r="C341" s="2" t="n"/>
      <c r="D341" s="2" t="n"/>
      <c r="E341" s="2" t="n"/>
      <c r="F341" s="2" t="n"/>
      <c r="G341" s="2" t="n"/>
      <c r="H341" s="2" t="n"/>
      <c r="I341" s="2" t="n"/>
      <c r="J341" s="3" t="n"/>
      <c r="K341" s="4">
        <f>IF($B341="","",IF($J341&lt;&gt;"",$J341-$B341,TODAY()-$B341))</f>
        <v/>
      </c>
    </row>
    <row r="342">
      <c r="A342" s="2" t="n"/>
      <c r="B342" s="3" t="n"/>
      <c r="C342" s="2" t="n"/>
      <c r="D342" s="2" t="n"/>
      <c r="E342" s="2" t="n"/>
      <c r="F342" s="2" t="n"/>
      <c r="G342" s="2" t="n"/>
      <c r="H342" s="2" t="n"/>
      <c r="I342" s="2" t="n"/>
      <c r="J342" s="3" t="n"/>
      <c r="K342" s="4">
        <f>IF($B342="","",IF($J342&lt;&gt;"",$J342-$B342,TODAY()-$B342))</f>
        <v/>
      </c>
    </row>
    <row r="343">
      <c r="A343" s="2" t="n"/>
      <c r="B343" s="3" t="n"/>
      <c r="C343" s="2" t="n"/>
      <c r="D343" s="2" t="n"/>
      <c r="E343" s="2" t="n"/>
      <c r="F343" s="2" t="n"/>
      <c r="G343" s="2" t="n"/>
      <c r="H343" s="2" t="n"/>
      <c r="I343" s="2" t="n"/>
      <c r="J343" s="3" t="n"/>
      <c r="K343" s="4">
        <f>IF($B343="","",IF($J343&lt;&gt;"",$J343-$B343,TODAY()-$B343))</f>
        <v/>
      </c>
    </row>
    <row r="344">
      <c r="A344" s="2" t="n"/>
      <c r="B344" s="3" t="n"/>
      <c r="C344" s="2" t="n"/>
      <c r="D344" s="2" t="n"/>
      <c r="E344" s="2" t="n"/>
      <c r="F344" s="2" t="n"/>
      <c r="G344" s="2" t="n"/>
      <c r="H344" s="2" t="n"/>
      <c r="I344" s="2" t="n"/>
      <c r="J344" s="3" t="n"/>
      <c r="K344" s="4">
        <f>IF($B344="","",IF($J344&lt;&gt;"",$J344-$B344,TODAY()-$B344))</f>
        <v/>
      </c>
    </row>
    <row r="345">
      <c r="A345" s="2" t="n"/>
      <c r="B345" s="3" t="n"/>
      <c r="C345" s="2" t="n"/>
      <c r="D345" s="2" t="n"/>
      <c r="E345" s="2" t="n"/>
      <c r="F345" s="2" t="n"/>
      <c r="G345" s="2" t="n"/>
      <c r="H345" s="2" t="n"/>
      <c r="I345" s="2" t="n"/>
      <c r="J345" s="3" t="n"/>
      <c r="K345" s="4">
        <f>IF($B345="","",IF($J345&lt;&gt;"",$J345-$B345,TODAY()-$B345))</f>
        <v/>
      </c>
    </row>
    <row r="346">
      <c r="A346" s="2" t="n"/>
      <c r="B346" s="3" t="n"/>
      <c r="C346" s="2" t="n"/>
      <c r="D346" s="2" t="n"/>
      <c r="E346" s="2" t="n"/>
      <c r="F346" s="2" t="n"/>
      <c r="G346" s="2" t="n"/>
      <c r="H346" s="2" t="n"/>
      <c r="I346" s="2" t="n"/>
      <c r="J346" s="3" t="n"/>
      <c r="K346" s="4">
        <f>IF($B346="","",IF($J346&lt;&gt;"",$J346-$B346,TODAY()-$B346))</f>
        <v/>
      </c>
    </row>
    <row r="347">
      <c r="A347" s="2" t="n"/>
      <c r="B347" s="3" t="n"/>
      <c r="C347" s="2" t="n"/>
      <c r="D347" s="2" t="n"/>
      <c r="E347" s="2" t="n"/>
      <c r="F347" s="2" t="n"/>
      <c r="G347" s="2" t="n"/>
      <c r="H347" s="2" t="n"/>
      <c r="I347" s="2" t="n"/>
      <c r="J347" s="3" t="n"/>
      <c r="K347" s="4">
        <f>IF($B347="","",IF($J347&lt;&gt;"",$J347-$B347,TODAY()-$B347))</f>
        <v/>
      </c>
    </row>
    <row r="348">
      <c r="A348" s="2" t="n"/>
      <c r="B348" s="3" t="n"/>
      <c r="C348" s="2" t="n"/>
      <c r="D348" s="2" t="n"/>
      <c r="E348" s="2" t="n"/>
      <c r="F348" s="2" t="n"/>
      <c r="G348" s="2" t="n"/>
      <c r="H348" s="2" t="n"/>
      <c r="I348" s="2" t="n"/>
      <c r="J348" s="3" t="n"/>
      <c r="K348" s="4">
        <f>IF($B348="","",IF($J348&lt;&gt;"",$J348-$B348,TODAY()-$B348))</f>
        <v/>
      </c>
    </row>
    <row r="349">
      <c r="A349" s="2" t="n"/>
      <c r="B349" s="3" t="n"/>
      <c r="C349" s="2" t="n"/>
      <c r="D349" s="2" t="n"/>
      <c r="E349" s="2" t="n"/>
      <c r="F349" s="2" t="n"/>
      <c r="G349" s="2" t="n"/>
      <c r="H349" s="2" t="n"/>
      <c r="I349" s="2" t="n"/>
      <c r="J349" s="3" t="n"/>
      <c r="K349" s="4">
        <f>IF($B349="","",IF($J349&lt;&gt;"",$J349-$B349,TODAY()-$B349))</f>
        <v/>
      </c>
    </row>
    <row r="350">
      <c r="A350" s="2" t="n"/>
      <c r="B350" s="3" t="n"/>
      <c r="C350" s="2" t="n"/>
      <c r="D350" s="2" t="n"/>
      <c r="E350" s="2" t="n"/>
      <c r="F350" s="2" t="n"/>
      <c r="G350" s="2" t="n"/>
      <c r="H350" s="2" t="n"/>
      <c r="I350" s="2" t="n"/>
      <c r="J350" s="3" t="n"/>
      <c r="K350" s="4">
        <f>IF($B350="","",IF($J350&lt;&gt;"",$J350-$B350,TODAY()-$B350))</f>
        <v/>
      </c>
    </row>
    <row r="351">
      <c r="A351" s="2" t="n"/>
      <c r="B351" s="3" t="n"/>
      <c r="C351" s="2" t="n"/>
      <c r="D351" s="2" t="n"/>
      <c r="E351" s="2" t="n"/>
      <c r="F351" s="2" t="n"/>
      <c r="G351" s="2" t="n"/>
      <c r="H351" s="2" t="n"/>
      <c r="I351" s="2" t="n"/>
      <c r="J351" s="3" t="n"/>
      <c r="K351" s="4">
        <f>IF($B351="","",IF($J351&lt;&gt;"",$J351-$B351,TODAY()-$B351))</f>
        <v/>
      </c>
    </row>
    <row r="352">
      <c r="A352" s="2" t="n"/>
      <c r="B352" s="3" t="n"/>
      <c r="C352" s="2" t="n"/>
      <c r="D352" s="2" t="n"/>
      <c r="E352" s="2" t="n"/>
      <c r="F352" s="2" t="n"/>
      <c r="G352" s="2" t="n"/>
      <c r="H352" s="2" t="n"/>
      <c r="I352" s="2" t="n"/>
      <c r="J352" s="3" t="n"/>
      <c r="K352" s="4">
        <f>IF($B352="","",IF($J352&lt;&gt;"",$J352-$B352,TODAY()-$B352))</f>
        <v/>
      </c>
    </row>
    <row r="353">
      <c r="A353" s="2" t="n"/>
      <c r="B353" s="3" t="n"/>
      <c r="C353" s="2" t="n"/>
      <c r="D353" s="2" t="n"/>
      <c r="E353" s="2" t="n"/>
      <c r="F353" s="2" t="n"/>
      <c r="G353" s="2" t="n"/>
      <c r="H353" s="2" t="n"/>
      <c r="I353" s="2" t="n"/>
      <c r="J353" s="3" t="n"/>
      <c r="K353" s="4">
        <f>IF($B353="","",IF($J353&lt;&gt;"",$J353-$B353,TODAY()-$B353))</f>
        <v/>
      </c>
    </row>
    <row r="354">
      <c r="A354" s="2" t="n"/>
      <c r="B354" s="3" t="n"/>
      <c r="C354" s="2" t="n"/>
      <c r="D354" s="2" t="n"/>
      <c r="E354" s="2" t="n"/>
      <c r="F354" s="2" t="n"/>
      <c r="G354" s="2" t="n"/>
      <c r="H354" s="2" t="n"/>
      <c r="I354" s="2" t="n"/>
      <c r="J354" s="3" t="n"/>
      <c r="K354" s="4">
        <f>IF($B354="","",IF($J354&lt;&gt;"",$J354-$B354,TODAY()-$B354))</f>
        <v/>
      </c>
    </row>
    <row r="355">
      <c r="A355" s="2" t="n"/>
      <c r="B355" s="3" t="n"/>
      <c r="C355" s="2" t="n"/>
      <c r="D355" s="2" t="n"/>
      <c r="E355" s="2" t="n"/>
      <c r="F355" s="2" t="n"/>
      <c r="G355" s="2" t="n"/>
      <c r="H355" s="2" t="n"/>
      <c r="I355" s="2" t="n"/>
      <c r="J355" s="3" t="n"/>
      <c r="K355" s="4">
        <f>IF($B355="","",IF($J355&lt;&gt;"",$J355-$B355,TODAY()-$B355))</f>
        <v/>
      </c>
    </row>
    <row r="356">
      <c r="A356" s="2" t="n"/>
      <c r="B356" s="3" t="n"/>
      <c r="C356" s="2" t="n"/>
      <c r="D356" s="2" t="n"/>
      <c r="E356" s="2" t="n"/>
      <c r="F356" s="2" t="n"/>
      <c r="G356" s="2" t="n"/>
      <c r="H356" s="2" t="n"/>
      <c r="I356" s="2" t="n"/>
      <c r="J356" s="3" t="n"/>
      <c r="K356" s="4">
        <f>IF($B356="","",IF($J356&lt;&gt;"",$J356-$B356,TODAY()-$B356))</f>
        <v/>
      </c>
    </row>
    <row r="357">
      <c r="A357" s="2" t="n"/>
      <c r="B357" s="3" t="n"/>
      <c r="C357" s="2" t="n"/>
      <c r="D357" s="2" t="n"/>
      <c r="E357" s="2" t="n"/>
      <c r="F357" s="2" t="n"/>
      <c r="G357" s="2" t="n"/>
      <c r="H357" s="2" t="n"/>
      <c r="I357" s="2" t="n"/>
      <c r="J357" s="3" t="n"/>
      <c r="K357" s="4">
        <f>IF($B357="","",IF($J357&lt;&gt;"",$J357-$B357,TODAY()-$B357))</f>
        <v/>
      </c>
    </row>
    <row r="358">
      <c r="A358" s="2" t="n"/>
      <c r="B358" s="3" t="n"/>
      <c r="C358" s="2" t="n"/>
      <c r="D358" s="2" t="n"/>
      <c r="E358" s="2" t="n"/>
      <c r="F358" s="2" t="n"/>
      <c r="G358" s="2" t="n"/>
      <c r="H358" s="2" t="n"/>
      <c r="I358" s="2" t="n"/>
      <c r="J358" s="3" t="n"/>
      <c r="K358" s="4">
        <f>IF($B358="","",IF($J358&lt;&gt;"",$J358-$B358,TODAY()-$B358))</f>
        <v/>
      </c>
    </row>
    <row r="359">
      <c r="A359" s="2" t="n"/>
      <c r="B359" s="3" t="n"/>
      <c r="C359" s="2" t="n"/>
      <c r="D359" s="2" t="n"/>
      <c r="E359" s="2" t="n"/>
      <c r="F359" s="2" t="n"/>
      <c r="G359" s="2" t="n"/>
      <c r="H359" s="2" t="n"/>
      <c r="I359" s="2" t="n"/>
      <c r="J359" s="3" t="n"/>
      <c r="K359" s="4">
        <f>IF($B359="","",IF($J359&lt;&gt;"",$J359-$B359,TODAY()-$B359))</f>
        <v/>
      </c>
    </row>
    <row r="360">
      <c r="A360" s="2" t="n"/>
      <c r="B360" s="3" t="n"/>
      <c r="C360" s="2" t="n"/>
      <c r="D360" s="2" t="n"/>
      <c r="E360" s="2" t="n"/>
      <c r="F360" s="2" t="n"/>
      <c r="G360" s="2" t="n"/>
      <c r="H360" s="2" t="n"/>
      <c r="I360" s="2" t="n"/>
      <c r="J360" s="3" t="n"/>
      <c r="K360" s="4">
        <f>IF($B360="","",IF($J360&lt;&gt;"",$J360-$B360,TODAY()-$B360))</f>
        <v/>
      </c>
    </row>
    <row r="361">
      <c r="A361" s="2" t="n"/>
      <c r="B361" s="3" t="n"/>
      <c r="C361" s="2" t="n"/>
      <c r="D361" s="2" t="n"/>
      <c r="E361" s="2" t="n"/>
      <c r="F361" s="2" t="n"/>
      <c r="G361" s="2" t="n"/>
      <c r="H361" s="2" t="n"/>
      <c r="I361" s="2" t="n"/>
      <c r="J361" s="3" t="n"/>
      <c r="K361" s="4">
        <f>IF($B361="","",IF($J361&lt;&gt;"",$J361-$B361,TODAY()-$B361))</f>
        <v/>
      </c>
    </row>
    <row r="362">
      <c r="A362" s="2" t="n"/>
      <c r="B362" s="3" t="n"/>
      <c r="C362" s="2" t="n"/>
      <c r="D362" s="2" t="n"/>
      <c r="E362" s="2" t="n"/>
      <c r="F362" s="2" t="n"/>
      <c r="G362" s="2" t="n"/>
      <c r="H362" s="2" t="n"/>
      <c r="I362" s="2" t="n"/>
      <c r="J362" s="3" t="n"/>
      <c r="K362" s="4">
        <f>IF($B362="","",IF($J362&lt;&gt;"",$J362-$B362,TODAY()-$B362))</f>
        <v/>
      </c>
    </row>
    <row r="363">
      <c r="A363" s="2" t="n"/>
      <c r="B363" s="3" t="n"/>
      <c r="C363" s="2" t="n"/>
      <c r="D363" s="2" t="n"/>
      <c r="E363" s="2" t="n"/>
      <c r="F363" s="2" t="n"/>
      <c r="G363" s="2" t="n"/>
      <c r="H363" s="2" t="n"/>
      <c r="I363" s="2" t="n"/>
      <c r="J363" s="3" t="n"/>
      <c r="K363" s="4">
        <f>IF($B363="","",IF($J363&lt;&gt;"",$J363-$B363,TODAY()-$B363))</f>
        <v/>
      </c>
    </row>
    <row r="364">
      <c r="A364" s="2" t="n"/>
      <c r="B364" s="3" t="n"/>
      <c r="C364" s="2" t="n"/>
      <c r="D364" s="2" t="n"/>
      <c r="E364" s="2" t="n"/>
      <c r="F364" s="2" t="n"/>
      <c r="G364" s="2" t="n"/>
      <c r="H364" s="2" t="n"/>
      <c r="I364" s="2" t="n"/>
      <c r="J364" s="3" t="n"/>
      <c r="K364" s="4">
        <f>IF($B364="","",IF($J364&lt;&gt;"",$J364-$B364,TODAY()-$B364))</f>
        <v/>
      </c>
    </row>
    <row r="365">
      <c r="A365" s="2" t="n"/>
      <c r="B365" s="3" t="n"/>
      <c r="C365" s="2" t="n"/>
      <c r="D365" s="2" t="n"/>
      <c r="E365" s="2" t="n"/>
      <c r="F365" s="2" t="n"/>
      <c r="G365" s="2" t="n"/>
      <c r="H365" s="2" t="n"/>
      <c r="I365" s="2" t="n"/>
      <c r="J365" s="3" t="n"/>
      <c r="K365" s="4">
        <f>IF($B365="","",IF($J365&lt;&gt;"",$J365-$B365,TODAY()-$B365))</f>
        <v/>
      </c>
    </row>
    <row r="366">
      <c r="A366" s="2" t="n"/>
      <c r="B366" s="3" t="n"/>
      <c r="C366" s="2" t="n"/>
      <c r="D366" s="2" t="n"/>
      <c r="E366" s="2" t="n"/>
      <c r="F366" s="2" t="n"/>
      <c r="G366" s="2" t="n"/>
      <c r="H366" s="2" t="n"/>
      <c r="I366" s="2" t="n"/>
      <c r="J366" s="3" t="n"/>
      <c r="K366" s="4">
        <f>IF($B366="","",IF($J366&lt;&gt;"",$J366-$B366,TODAY()-$B366))</f>
        <v/>
      </c>
    </row>
    <row r="367">
      <c r="A367" s="2" t="n"/>
      <c r="B367" s="3" t="n"/>
      <c r="C367" s="2" t="n"/>
      <c r="D367" s="2" t="n"/>
      <c r="E367" s="2" t="n"/>
      <c r="F367" s="2" t="n"/>
      <c r="G367" s="2" t="n"/>
      <c r="H367" s="2" t="n"/>
      <c r="I367" s="2" t="n"/>
      <c r="J367" s="3" t="n"/>
      <c r="K367" s="4">
        <f>IF($B367="","",IF($J367&lt;&gt;"",$J367-$B367,TODAY()-$B367))</f>
        <v/>
      </c>
    </row>
    <row r="368">
      <c r="A368" s="2" t="n"/>
      <c r="B368" s="3" t="n"/>
      <c r="C368" s="2" t="n"/>
      <c r="D368" s="2" t="n"/>
      <c r="E368" s="2" t="n"/>
      <c r="F368" s="2" t="n"/>
      <c r="G368" s="2" t="n"/>
      <c r="H368" s="2" t="n"/>
      <c r="I368" s="2" t="n"/>
      <c r="J368" s="3" t="n"/>
      <c r="K368" s="4">
        <f>IF($B368="","",IF($J368&lt;&gt;"",$J368-$B368,TODAY()-$B368))</f>
        <v/>
      </c>
    </row>
    <row r="369">
      <c r="A369" s="2" t="n"/>
      <c r="B369" s="3" t="n"/>
      <c r="C369" s="2" t="n"/>
      <c r="D369" s="2" t="n"/>
      <c r="E369" s="2" t="n"/>
      <c r="F369" s="2" t="n"/>
      <c r="G369" s="2" t="n"/>
      <c r="H369" s="2" t="n"/>
      <c r="I369" s="2" t="n"/>
      <c r="J369" s="3" t="n"/>
      <c r="K369" s="4">
        <f>IF($B369="","",IF($J369&lt;&gt;"",$J369-$B369,TODAY()-$B369))</f>
        <v/>
      </c>
    </row>
    <row r="370">
      <c r="A370" s="2" t="n"/>
      <c r="B370" s="3" t="n"/>
      <c r="C370" s="2" t="n"/>
      <c r="D370" s="2" t="n"/>
      <c r="E370" s="2" t="n"/>
      <c r="F370" s="2" t="n"/>
      <c r="G370" s="2" t="n"/>
      <c r="H370" s="2" t="n"/>
      <c r="I370" s="2" t="n"/>
      <c r="J370" s="3" t="n"/>
      <c r="K370" s="4">
        <f>IF($B370="","",IF($J370&lt;&gt;"",$J370-$B370,TODAY()-$B370))</f>
        <v/>
      </c>
    </row>
    <row r="371">
      <c r="A371" s="2" t="n"/>
      <c r="B371" s="3" t="n"/>
      <c r="C371" s="2" t="n"/>
      <c r="D371" s="2" t="n"/>
      <c r="E371" s="2" t="n"/>
      <c r="F371" s="2" t="n"/>
      <c r="G371" s="2" t="n"/>
      <c r="H371" s="2" t="n"/>
      <c r="I371" s="2" t="n"/>
      <c r="J371" s="3" t="n"/>
      <c r="K371" s="4">
        <f>IF($B371="","",IF($J371&lt;&gt;"",$J371-$B371,TODAY()-$B371))</f>
        <v/>
      </c>
    </row>
    <row r="372">
      <c r="A372" s="2" t="n"/>
      <c r="B372" s="3" t="n"/>
      <c r="C372" s="2" t="n"/>
      <c r="D372" s="2" t="n"/>
      <c r="E372" s="2" t="n"/>
      <c r="F372" s="2" t="n"/>
      <c r="G372" s="2" t="n"/>
      <c r="H372" s="2" t="n"/>
      <c r="I372" s="2" t="n"/>
      <c r="J372" s="3" t="n"/>
      <c r="K372" s="4">
        <f>IF($B372="","",IF($J372&lt;&gt;"",$J372-$B372,TODAY()-$B372))</f>
        <v/>
      </c>
    </row>
    <row r="373">
      <c r="A373" s="2" t="n"/>
      <c r="B373" s="3" t="n"/>
      <c r="C373" s="2" t="n"/>
      <c r="D373" s="2" t="n"/>
      <c r="E373" s="2" t="n"/>
      <c r="F373" s="2" t="n"/>
      <c r="G373" s="2" t="n"/>
      <c r="H373" s="2" t="n"/>
      <c r="I373" s="2" t="n"/>
      <c r="J373" s="3" t="n"/>
      <c r="K373" s="4">
        <f>IF($B373="","",IF($J373&lt;&gt;"",$J373-$B373,TODAY()-$B373))</f>
        <v/>
      </c>
    </row>
    <row r="374">
      <c r="A374" s="2" t="n"/>
      <c r="B374" s="3" t="n"/>
      <c r="C374" s="2" t="n"/>
      <c r="D374" s="2" t="n"/>
      <c r="E374" s="2" t="n"/>
      <c r="F374" s="2" t="n"/>
      <c r="G374" s="2" t="n"/>
      <c r="H374" s="2" t="n"/>
      <c r="I374" s="2" t="n"/>
      <c r="J374" s="3" t="n"/>
      <c r="K374" s="4">
        <f>IF($B374="","",IF($J374&lt;&gt;"",$J374-$B374,TODAY()-$B374))</f>
        <v/>
      </c>
    </row>
    <row r="375">
      <c r="A375" s="2" t="n"/>
      <c r="B375" s="3" t="n"/>
      <c r="C375" s="2" t="n"/>
      <c r="D375" s="2" t="n"/>
      <c r="E375" s="2" t="n"/>
      <c r="F375" s="2" t="n"/>
      <c r="G375" s="2" t="n"/>
      <c r="H375" s="2" t="n"/>
      <c r="I375" s="2" t="n"/>
      <c r="J375" s="3" t="n"/>
      <c r="K375" s="4">
        <f>IF($B375="","",IF($J375&lt;&gt;"",$J375-$B375,TODAY()-$B375))</f>
        <v/>
      </c>
    </row>
    <row r="376">
      <c r="A376" s="2" t="n"/>
      <c r="B376" s="3" t="n"/>
      <c r="C376" s="2" t="n"/>
      <c r="D376" s="2" t="n"/>
      <c r="E376" s="2" t="n"/>
      <c r="F376" s="2" t="n"/>
      <c r="G376" s="2" t="n"/>
      <c r="H376" s="2" t="n"/>
      <c r="I376" s="2" t="n"/>
      <c r="J376" s="3" t="n"/>
      <c r="K376" s="4">
        <f>IF($B376="","",IF($J376&lt;&gt;"",$J376-$B376,TODAY()-$B376))</f>
        <v/>
      </c>
    </row>
    <row r="377">
      <c r="A377" s="2" t="n"/>
      <c r="B377" s="3" t="n"/>
      <c r="C377" s="2" t="n"/>
      <c r="D377" s="2" t="n"/>
      <c r="E377" s="2" t="n"/>
      <c r="F377" s="2" t="n"/>
      <c r="G377" s="2" t="n"/>
      <c r="H377" s="2" t="n"/>
      <c r="I377" s="2" t="n"/>
      <c r="J377" s="3" t="n"/>
      <c r="K377" s="4">
        <f>IF($B377="","",IF($J377&lt;&gt;"",$J377-$B377,TODAY()-$B377))</f>
        <v/>
      </c>
    </row>
    <row r="378">
      <c r="A378" s="2" t="n"/>
      <c r="B378" s="3" t="n"/>
      <c r="C378" s="2" t="n"/>
      <c r="D378" s="2" t="n"/>
      <c r="E378" s="2" t="n"/>
      <c r="F378" s="2" t="n"/>
      <c r="G378" s="2" t="n"/>
      <c r="H378" s="2" t="n"/>
      <c r="I378" s="2" t="n"/>
      <c r="J378" s="3" t="n"/>
      <c r="K378" s="4">
        <f>IF($B378="","",IF($J378&lt;&gt;"",$J378-$B378,TODAY()-$B378))</f>
        <v/>
      </c>
    </row>
    <row r="379">
      <c r="A379" s="2" t="n"/>
      <c r="B379" s="3" t="n"/>
      <c r="C379" s="2" t="n"/>
      <c r="D379" s="2" t="n"/>
      <c r="E379" s="2" t="n"/>
      <c r="F379" s="2" t="n"/>
      <c r="G379" s="2" t="n"/>
      <c r="H379" s="2" t="n"/>
      <c r="I379" s="2" t="n"/>
      <c r="J379" s="3" t="n"/>
      <c r="K379" s="4">
        <f>IF($B379="","",IF($J379&lt;&gt;"",$J379-$B379,TODAY()-$B379))</f>
        <v/>
      </c>
    </row>
    <row r="380">
      <c r="A380" s="2" t="n"/>
      <c r="B380" s="3" t="n"/>
      <c r="C380" s="2" t="n"/>
      <c r="D380" s="2" t="n"/>
      <c r="E380" s="2" t="n"/>
      <c r="F380" s="2" t="n"/>
      <c r="G380" s="2" t="n"/>
      <c r="H380" s="2" t="n"/>
      <c r="I380" s="2" t="n"/>
      <c r="J380" s="3" t="n"/>
      <c r="K380" s="4">
        <f>IF($B380="","",IF($J380&lt;&gt;"",$J380-$B380,TODAY()-$B380))</f>
        <v/>
      </c>
    </row>
    <row r="381">
      <c r="A381" s="2" t="n"/>
      <c r="B381" s="3" t="n"/>
      <c r="C381" s="2" t="n"/>
      <c r="D381" s="2" t="n"/>
      <c r="E381" s="2" t="n"/>
      <c r="F381" s="2" t="n"/>
      <c r="G381" s="2" t="n"/>
      <c r="H381" s="2" t="n"/>
      <c r="I381" s="2" t="n"/>
      <c r="J381" s="3" t="n"/>
      <c r="K381" s="4">
        <f>IF($B381="","",IF($J381&lt;&gt;"",$J381-$B381,TODAY()-$B381))</f>
        <v/>
      </c>
    </row>
    <row r="382">
      <c r="A382" s="2" t="n"/>
      <c r="B382" s="3" t="n"/>
      <c r="C382" s="2" t="n"/>
      <c r="D382" s="2" t="n"/>
      <c r="E382" s="2" t="n"/>
      <c r="F382" s="2" t="n"/>
      <c r="G382" s="2" t="n"/>
      <c r="H382" s="2" t="n"/>
      <c r="I382" s="2" t="n"/>
      <c r="J382" s="3" t="n"/>
      <c r="K382" s="4">
        <f>IF($B382="","",IF($J382&lt;&gt;"",$J382-$B382,TODAY()-$B382))</f>
        <v/>
      </c>
    </row>
    <row r="383">
      <c r="A383" s="2" t="n"/>
      <c r="B383" s="3" t="n"/>
      <c r="C383" s="2" t="n"/>
      <c r="D383" s="2" t="n"/>
      <c r="E383" s="2" t="n"/>
      <c r="F383" s="2" t="n"/>
      <c r="G383" s="2" t="n"/>
      <c r="H383" s="2" t="n"/>
      <c r="I383" s="2" t="n"/>
      <c r="J383" s="3" t="n"/>
      <c r="K383" s="4">
        <f>IF($B383="","",IF($J383&lt;&gt;"",$J383-$B383,TODAY()-$B383))</f>
        <v/>
      </c>
    </row>
    <row r="384">
      <c r="A384" s="2" t="n"/>
      <c r="B384" s="3" t="n"/>
      <c r="C384" s="2" t="n"/>
      <c r="D384" s="2" t="n"/>
      <c r="E384" s="2" t="n"/>
      <c r="F384" s="2" t="n"/>
      <c r="G384" s="2" t="n"/>
      <c r="H384" s="2" t="n"/>
      <c r="I384" s="2" t="n"/>
      <c r="J384" s="3" t="n"/>
      <c r="K384" s="4">
        <f>IF($B384="","",IF($J384&lt;&gt;"",$J384-$B384,TODAY()-$B384))</f>
        <v/>
      </c>
    </row>
    <row r="385">
      <c r="A385" s="2" t="n"/>
      <c r="B385" s="3" t="n"/>
      <c r="C385" s="2" t="n"/>
      <c r="D385" s="2" t="n"/>
      <c r="E385" s="2" t="n"/>
      <c r="F385" s="2" t="n"/>
      <c r="G385" s="2" t="n"/>
      <c r="H385" s="2" t="n"/>
      <c r="I385" s="2" t="n"/>
      <c r="J385" s="3" t="n"/>
      <c r="K385" s="4">
        <f>IF($B385="","",IF($J385&lt;&gt;"",$J385-$B385,TODAY()-$B385))</f>
        <v/>
      </c>
    </row>
    <row r="386">
      <c r="A386" s="2" t="n"/>
      <c r="B386" s="3" t="n"/>
      <c r="C386" s="2" t="n"/>
      <c r="D386" s="2" t="n"/>
      <c r="E386" s="2" t="n"/>
      <c r="F386" s="2" t="n"/>
      <c r="G386" s="2" t="n"/>
      <c r="H386" s="2" t="n"/>
      <c r="I386" s="2" t="n"/>
      <c r="J386" s="3" t="n"/>
      <c r="K386" s="4">
        <f>IF($B386="","",IF($J386&lt;&gt;"",$J386-$B386,TODAY()-$B386))</f>
        <v/>
      </c>
    </row>
    <row r="387">
      <c r="A387" s="2" t="n"/>
      <c r="B387" s="3" t="n"/>
      <c r="C387" s="2" t="n"/>
      <c r="D387" s="2" t="n"/>
      <c r="E387" s="2" t="n"/>
      <c r="F387" s="2" t="n"/>
      <c r="G387" s="2" t="n"/>
      <c r="H387" s="2" t="n"/>
      <c r="I387" s="2" t="n"/>
      <c r="J387" s="3" t="n"/>
      <c r="K387" s="4">
        <f>IF($B387="","",IF($J387&lt;&gt;"",$J387-$B387,TODAY()-$B387))</f>
        <v/>
      </c>
    </row>
    <row r="388">
      <c r="A388" s="2" t="n"/>
      <c r="B388" s="3" t="n"/>
      <c r="C388" s="2" t="n"/>
      <c r="D388" s="2" t="n"/>
      <c r="E388" s="2" t="n"/>
      <c r="F388" s="2" t="n"/>
      <c r="G388" s="2" t="n"/>
      <c r="H388" s="2" t="n"/>
      <c r="I388" s="2" t="n"/>
      <c r="J388" s="3" t="n"/>
      <c r="K388" s="4">
        <f>IF($B388="","",IF($J388&lt;&gt;"",$J388-$B388,TODAY()-$B388))</f>
        <v/>
      </c>
    </row>
    <row r="389">
      <c r="A389" s="2" t="n"/>
      <c r="B389" s="3" t="n"/>
      <c r="C389" s="2" t="n"/>
      <c r="D389" s="2" t="n"/>
      <c r="E389" s="2" t="n"/>
      <c r="F389" s="2" t="n"/>
      <c r="G389" s="2" t="n"/>
      <c r="H389" s="2" t="n"/>
      <c r="I389" s="2" t="n"/>
      <c r="J389" s="3" t="n"/>
      <c r="K389" s="4">
        <f>IF($B389="","",IF($J389&lt;&gt;"",$J389-$B389,TODAY()-$B389))</f>
        <v/>
      </c>
    </row>
    <row r="390">
      <c r="A390" s="2" t="n"/>
      <c r="B390" s="3" t="n"/>
      <c r="C390" s="2" t="n"/>
      <c r="D390" s="2" t="n"/>
      <c r="E390" s="2" t="n"/>
      <c r="F390" s="2" t="n"/>
      <c r="G390" s="2" t="n"/>
      <c r="H390" s="2" t="n"/>
      <c r="I390" s="2" t="n"/>
      <c r="J390" s="3" t="n"/>
      <c r="K390" s="4">
        <f>IF($B390="","",IF($J390&lt;&gt;"",$J390-$B390,TODAY()-$B390))</f>
        <v/>
      </c>
    </row>
    <row r="391">
      <c r="A391" s="2" t="n"/>
      <c r="B391" s="3" t="n"/>
      <c r="C391" s="2" t="n"/>
      <c r="D391" s="2" t="n"/>
      <c r="E391" s="2" t="n"/>
      <c r="F391" s="2" t="n"/>
      <c r="G391" s="2" t="n"/>
      <c r="H391" s="2" t="n"/>
      <c r="I391" s="2" t="n"/>
      <c r="J391" s="3" t="n"/>
      <c r="K391" s="4">
        <f>IF($B391="","",IF($J391&lt;&gt;"",$J391-$B391,TODAY()-$B391))</f>
        <v/>
      </c>
    </row>
    <row r="392">
      <c r="A392" s="2" t="n"/>
      <c r="B392" s="3" t="n"/>
      <c r="C392" s="2" t="n"/>
      <c r="D392" s="2" t="n"/>
      <c r="E392" s="2" t="n"/>
      <c r="F392" s="2" t="n"/>
      <c r="G392" s="2" t="n"/>
      <c r="H392" s="2" t="n"/>
      <c r="I392" s="2" t="n"/>
      <c r="J392" s="3" t="n"/>
      <c r="K392" s="4">
        <f>IF($B392="","",IF($J392&lt;&gt;"",$J392-$B392,TODAY()-$B392))</f>
        <v/>
      </c>
    </row>
    <row r="393">
      <c r="A393" s="2" t="n"/>
      <c r="B393" s="3" t="n"/>
      <c r="C393" s="2" t="n"/>
      <c r="D393" s="2" t="n"/>
      <c r="E393" s="2" t="n"/>
      <c r="F393" s="2" t="n"/>
      <c r="G393" s="2" t="n"/>
      <c r="H393" s="2" t="n"/>
      <c r="I393" s="2" t="n"/>
      <c r="J393" s="3" t="n"/>
      <c r="K393" s="4">
        <f>IF($B393="","",IF($J393&lt;&gt;"",$J393-$B393,TODAY()-$B393))</f>
        <v/>
      </c>
    </row>
    <row r="394">
      <c r="A394" s="2" t="n"/>
      <c r="B394" s="3" t="n"/>
      <c r="C394" s="2" t="n"/>
      <c r="D394" s="2" t="n"/>
      <c r="E394" s="2" t="n"/>
      <c r="F394" s="2" t="n"/>
      <c r="G394" s="2" t="n"/>
      <c r="H394" s="2" t="n"/>
      <c r="I394" s="2" t="n"/>
      <c r="J394" s="3" t="n"/>
      <c r="K394" s="4">
        <f>IF($B394="","",IF($J394&lt;&gt;"",$J394-$B394,TODAY()-$B394))</f>
        <v/>
      </c>
    </row>
    <row r="395">
      <c r="A395" s="2" t="n"/>
      <c r="B395" s="3" t="n"/>
      <c r="C395" s="2" t="n"/>
      <c r="D395" s="2" t="n"/>
      <c r="E395" s="2" t="n"/>
      <c r="F395" s="2" t="n"/>
      <c r="G395" s="2" t="n"/>
      <c r="H395" s="2" t="n"/>
      <c r="I395" s="2" t="n"/>
      <c r="J395" s="3" t="n"/>
      <c r="K395" s="4">
        <f>IF($B395="","",IF($J395&lt;&gt;"",$J395-$B395,TODAY()-$B395))</f>
        <v/>
      </c>
    </row>
    <row r="396">
      <c r="A396" s="2" t="n"/>
      <c r="B396" s="3" t="n"/>
      <c r="C396" s="2" t="n"/>
      <c r="D396" s="2" t="n"/>
      <c r="E396" s="2" t="n"/>
      <c r="F396" s="2" t="n"/>
      <c r="G396" s="2" t="n"/>
      <c r="H396" s="2" t="n"/>
      <c r="I396" s="2" t="n"/>
      <c r="J396" s="3" t="n"/>
      <c r="K396" s="4">
        <f>IF($B396="","",IF($J396&lt;&gt;"",$J396-$B396,TODAY()-$B396))</f>
        <v/>
      </c>
    </row>
    <row r="397">
      <c r="A397" s="2" t="n"/>
      <c r="B397" s="3" t="n"/>
      <c r="C397" s="2" t="n"/>
      <c r="D397" s="2" t="n"/>
      <c r="E397" s="2" t="n"/>
      <c r="F397" s="2" t="n"/>
      <c r="G397" s="2" t="n"/>
      <c r="H397" s="2" t="n"/>
      <c r="I397" s="2" t="n"/>
      <c r="J397" s="3" t="n"/>
      <c r="K397" s="4">
        <f>IF($B397="","",IF($J397&lt;&gt;"",$J397-$B397,TODAY()-$B397))</f>
        <v/>
      </c>
    </row>
    <row r="398">
      <c r="A398" s="2" t="n"/>
      <c r="B398" s="3" t="n"/>
      <c r="C398" s="2" t="n"/>
      <c r="D398" s="2" t="n"/>
      <c r="E398" s="2" t="n"/>
      <c r="F398" s="2" t="n"/>
      <c r="G398" s="2" t="n"/>
      <c r="H398" s="2" t="n"/>
      <c r="I398" s="2" t="n"/>
      <c r="J398" s="3" t="n"/>
      <c r="K398" s="4">
        <f>IF($B398="","",IF($J398&lt;&gt;"",$J398-$B398,TODAY()-$B398))</f>
        <v/>
      </c>
    </row>
    <row r="399">
      <c r="A399" s="2" t="n"/>
      <c r="B399" s="3" t="n"/>
      <c r="C399" s="2" t="n"/>
      <c r="D399" s="2" t="n"/>
      <c r="E399" s="2" t="n"/>
      <c r="F399" s="2" t="n"/>
      <c r="G399" s="2" t="n"/>
      <c r="H399" s="2" t="n"/>
      <c r="I399" s="2" t="n"/>
      <c r="J399" s="3" t="n"/>
      <c r="K399" s="4">
        <f>IF($B399="","",IF($J399&lt;&gt;"",$J399-$B399,TODAY()-$B399))</f>
        <v/>
      </c>
    </row>
    <row r="400">
      <c r="A400" s="2" t="n"/>
      <c r="B400" s="3" t="n"/>
      <c r="C400" s="2" t="n"/>
      <c r="D400" s="2" t="n"/>
      <c r="E400" s="2" t="n"/>
      <c r="F400" s="2" t="n"/>
      <c r="G400" s="2" t="n"/>
      <c r="H400" s="2" t="n"/>
      <c r="I400" s="2" t="n"/>
      <c r="J400" s="3" t="n"/>
      <c r="K400" s="4">
        <f>IF($B400="","",IF($J400&lt;&gt;"",$J400-$B400,TODAY()-$B400))</f>
        <v/>
      </c>
    </row>
    <row r="401">
      <c r="A401" s="2" t="n"/>
      <c r="B401" s="3" t="n"/>
      <c r="C401" s="2" t="n"/>
      <c r="D401" s="2" t="n"/>
      <c r="E401" s="2" t="n"/>
      <c r="F401" s="2" t="n"/>
      <c r="G401" s="2" t="n"/>
      <c r="H401" s="2" t="n"/>
      <c r="I401" s="2" t="n"/>
      <c r="J401" s="3" t="n"/>
      <c r="K401" s="4">
        <f>IF($B401="","",IF($J401&lt;&gt;"",$J401-$B401,TODAY()-$B401))</f>
        <v/>
      </c>
    </row>
    <row r="402">
      <c r="A402" s="2" t="n"/>
      <c r="B402" s="3" t="n"/>
      <c r="C402" s="2" t="n"/>
      <c r="D402" s="2" t="n"/>
      <c r="E402" s="2" t="n"/>
      <c r="F402" s="2" t="n"/>
      <c r="G402" s="2" t="n"/>
      <c r="H402" s="2" t="n"/>
      <c r="I402" s="2" t="n"/>
      <c r="J402" s="3" t="n"/>
      <c r="K402" s="4">
        <f>IF($B402="","",IF($J402&lt;&gt;"",$J402-$B402,TODAY()-$B402))</f>
        <v/>
      </c>
    </row>
    <row r="403">
      <c r="A403" s="2" t="n"/>
      <c r="B403" s="3" t="n"/>
      <c r="C403" s="2" t="n"/>
      <c r="D403" s="2" t="n"/>
      <c r="E403" s="2" t="n"/>
      <c r="F403" s="2" t="n"/>
      <c r="G403" s="2" t="n"/>
      <c r="H403" s="2" t="n"/>
      <c r="I403" s="2" t="n"/>
      <c r="J403" s="3" t="n"/>
      <c r="K403" s="4">
        <f>IF($B403="","",IF($J403&lt;&gt;"",$J403-$B403,TODAY()-$B403))</f>
        <v/>
      </c>
    </row>
    <row r="404">
      <c r="A404" s="2" t="n"/>
      <c r="B404" s="3" t="n"/>
      <c r="C404" s="2" t="n"/>
      <c r="D404" s="2" t="n"/>
      <c r="E404" s="2" t="n"/>
      <c r="F404" s="2" t="n"/>
      <c r="G404" s="2" t="n"/>
      <c r="H404" s="2" t="n"/>
      <c r="I404" s="2" t="n"/>
      <c r="J404" s="3" t="n"/>
      <c r="K404" s="4">
        <f>IF($B404="","",IF($J404&lt;&gt;"",$J404-$B404,TODAY()-$B404))</f>
        <v/>
      </c>
    </row>
    <row r="405">
      <c r="A405" s="2" t="n"/>
      <c r="B405" s="3" t="n"/>
      <c r="C405" s="2" t="n"/>
      <c r="D405" s="2" t="n"/>
      <c r="E405" s="2" t="n"/>
      <c r="F405" s="2" t="n"/>
      <c r="G405" s="2" t="n"/>
      <c r="H405" s="2" t="n"/>
      <c r="I405" s="2" t="n"/>
      <c r="J405" s="3" t="n"/>
      <c r="K405" s="4">
        <f>IF($B405="","",IF($J405&lt;&gt;"",$J405-$B405,TODAY()-$B405))</f>
        <v/>
      </c>
    </row>
    <row r="406">
      <c r="A406" s="2" t="n"/>
      <c r="B406" s="3" t="n"/>
      <c r="C406" s="2" t="n"/>
      <c r="D406" s="2" t="n"/>
      <c r="E406" s="2" t="n"/>
      <c r="F406" s="2" t="n"/>
      <c r="G406" s="2" t="n"/>
      <c r="H406" s="2" t="n"/>
      <c r="I406" s="2" t="n"/>
      <c r="J406" s="3" t="n"/>
      <c r="K406" s="4">
        <f>IF($B406="","",IF($J406&lt;&gt;"",$J406-$B406,TODAY()-$B406))</f>
        <v/>
      </c>
    </row>
    <row r="407">
      <c r="A407" s="2" t="n"/>
      <c r="B407" s="3" t="n"/>
      <c r="C407" s="2" t="n"/>
      <c r="D407" s="2" t="n"/>
      <c r="E407" s="2" t="n"/>
      <c r="F407" s="2" t="n"/>
      <c r="G407" s="2" t="n"/>
      <c r="H407" s="2" t="n"/>
      <c r="I407" s="2" t="n"/>
      <c r="J407" s="3" t="n"/>
      <c r="K407" s="4">
        <f>IF($B407="","",IF($J407&lt;&gt;"",$J407-$B407,TODAY()-$B407))</f>
        <v/>
      </c>
    </row>
    <row r="408">
      <c r="A408" s="2" t="n"/>
      <c r="B408" s="3" t="n"/>
      <c r="C408" s="2" t="n"/>
      <c r="D408" s="2" t="n"/>
      <c r="E408" s="2" t="n"/>
      <c r="F408" s="2" t="n"/>
      <c r="G408" s="2" t="n"/>
      <c r="H408" s="2" t="n"/>
      <c r="I408" s="2" t="n"/>
      <c r="J408" s="3" t="n"/>
      <c r="K408" s="4">
        <f>IF($B408="","",IF($J408&lt;&gt;"",$J408-$B408,TODAY()-$B408))</f>
        <v/>
      </c>
    </row>
    <row r="409">
      <c r="A409" s="2" t="n"/>
      <c r="B409" s="3" t="n"/>
      <c r="C409" s="2" t="n"/>
      <c r="D409" s="2" t="n"/>
      <c r="E409" s="2" t="n"/>
      <c r="F409" s="2" t="n"/>
      <c r="G409" s="2" t="n"/>
      <c r="H409" s="2" t="n"/>
      <c r="I409" s="2" t="n"/>
      <c r="J409" s="3" t="n"/>
      <c r="K409" s="4">
        <f>IF($B409="","",IF($J409&lt;&gt;"",$J409-$B409,TODAY()-$B409))</f>
        <v/>
      </c>
    </row>
    <row r="410">
      <c r="A410" s="2" t="n"/>
      <c r="B410" s="3" t="n"/>
      <c r="C410" s="2" t="n"/>
      <c r="D410" s="2" t="n"/>
      <c r="E410" s="2" t="n"/>
      <c r="F410" s="2" t="n"/>
      <c r="G410" s="2" t="n"/>
      <c r="H410" s="2" t="n"/>
      <c r="I410" s="2" t="n"/>
      <c r="J410" s="3" t="n"/>
      <c r="K410" s="4">
        <f>IF($B410="","",IF($J410&lt;&gt;"",$J410-$B410,TODAY()-$B410))</f>
        <v/>
      </c>
    </row>
    <row r="411">
      <c r="A411" s="2" t="n"/>
      <c r="B411" s="3" t="n"/>
      <c r="C411" s="2" t="n"/>
      <c r="D411" s="2" t="n"/>
      <c r="E411" s="2" t="n"/>
      <c r="F411" s="2" t="n"/>
      <c r="G411" s="2" t="n"/>
      <c r="H411" s="2" t="n"/>
      <c r="I411" s="2" t="n"/>
      <c r="J411" s="3" t="n"/>
      <c r="K411" s="4">
        <f>IF($B411="","",IF($J411&lt;&gt;"",$J411-$B411,TODAY()-$B411))</f>
        <v/>
      </c>
    </row>
    <row r="412">
      <c r="A412" s="2" t="n"/>
      <c r="B412" s="3" t="n"/>
      <c r="C412" s="2" t="n"/>
      <c r="D412" s="2" t="n"/>
      <c r="E412" s="2" t="n"/>
      <c r="F412" s="2" t="n"/>
      <c r="G412" s="2" t="n"/>
      <c r="H412" s="2" t="n"/>
      <c r="I412" s="2" t="n"/>
      <c r="J412" s="3" t="n"/>
      <c r="K412" s="4">
        <f>IF($B412="","",IF($J412&lt;&gt;"",$J412-$B412,TODAY()-$B412))</f>
        <v/>
      </c>
    </row>
    <row r="413">
      <c r="A413" s="2" t="n"/>
      <c r="B413" s="3" t="n"/>
      <c r="C413" s="2" t="n"/>
      <c r="D413" s="2" t="n"/>
      <c r="E413" s="2" t="n"/>
      <c r="F413" s="2" t="n"/>
      <c r="G413" s="2" t="n"/>
      <c r="H413" s="2" t="n"/>
      <c r="I413" s="2" t="n"/>
      <c r="J413" s="3" t="n"/>
      <c r="K413" s="4">
        <f>IF($B413="","",IF($J413&lt;&gt;"",$J413-$B413,TODAY()-$B413))</f>
        <v/>
      </c>
    </row>
    <row r="414">
      <c r="A414" s="2" t="n"/>
      <c r="B414" s="3" t="n"/>
      <c r="C414" s="2" t="n"/>
      <c r="D414" s="2" t="n"/>
      <c r="E414" s="2" t="n"/>
      <c r="F414" s="2" t="n"/>
      <c r="G414" s="2" t="n"/>
      <c r="H414" s="2" t="n"/>
      <c r="I414" s="2" t="n"/>
      <c r="J414" s="3" t="n"/>
      <c r="K414" s="4">
        <f>IF($B414="","",IF($J414&lt;&gt;"",$J414-$B414,TODAY()-$B414))</f>
        <v/>
      </c>
    </row>
    <row r="415">
      <c r="A415" s="2" t="n"/>
      <c r="B415" s="3" t="n"/>
      <c r="C415" s="2" t="n"/>
      <c r="D415" s="2" t="n"/>
      <c r="E415" s="2" t="n"/>
      <c r="F415" s="2" t="n"/>
      <c r="G415" s="2" t="n"/>
      <c r="H415" s="2" t="n"/>
      <c r="I415" s="2" t="n"/>
      <c r="J415" s="3" t="n"/>
      <c r="K415" s="4">
        <f>IF($B415="","",IF($J415&lt;&gt;"",$J415-$B415,TODAY()-$B415))</f>
        <v/>
      </c>
    </row>
    <row r="416">
      <c r="A416" s="2" t="n"/>
      <c r="B416" s="3" t="n"/>
      <c r="C416" s="2" t="n"/>
      <c r="D416" s="2" t="n"/>
      <c r="E416" s="2" t="n"/>
      <c r="F416" s="2" t="n"/>
      <c r="G416" s="2" t="n"/>
      <c r="H416" s="2" t="n"/>
      <c r="I416" s="2" t="n"/>
      <c r="J416" s="3" t="n"/>
      <c r="K416" s="4">
        <f>IF($B416="","",IF($J416&lt;&gt;"",$J416-$B416,TODAY()-$B416))</f>
        <v/>
      </c>
    </row>
    <row r="417">
      <c r="A417" s="2" t="n"/>
      <c r="B417" s="3" t="n"/>
      <c r="C417" s="2" t="n"/>
      <c r="D417" s="2" t="n"/>
      <c r="E417" s="2" t="n"/>
      <c r="F417" s="2" t="n"/>
      <c r="G417" s="2" t="n"/>
      <c r="H417" s="2" t="n"/>
      <c r="I417" s="2" t="n"/>
      <c r="J417" s="3" t="n"/>
      <c r="K417" s="4">
        <f>IF($B417="","",IF($J417&lt;&gt;"",$J417-$B417,TODAY()-$B417))</f>
        <v/>
      </c>
    </row>
    <row r="418">
      <c r="A418" s="2" t="n"/>
      <c r="B418" s="3" t="n"/>
      <c r="C418" s="2" t="n"/>
      <c r="D418" s="2" t="n"/>
      <c r="E418" s="2" t="n"/>
      <c r="F418" s="2" t="n"/>
      <c r="G418" s="2" t="n"/>
      <c r="H418" s="2" t="n"/>
      <c r="I418" s="2" t="n"/>
      <c r="J418" s="3" t="n"/>
      <c r="K418" s="4">
        <f>IF($B418="","",IF($J418&lt;&gt;"",$J418-$B418,TODAY()-$B418))</f>
        <v/>
      </c>
    </row>
    <row r="419">
      <c r="A419" s="2" t="n"/>
      <c r="B419" s="3" t="n"/>
      <c r="C419" s="2" t="n"/>
      <c r="D419" s="2" t="n"/>
      <c r="E419" s="2" t="n"/>
      <c r="F419" s="2" t="n"/>
      <c r="G419" s="2" t="n"/>
      <c r="H419" s="2" t="n"/>
      <c r="I419" s="2" t="n"/>
      <c r="J419" s="3" t="n"/>
      <c r="K419" s="4">
        <f>IF($B419="","",IF($J419&lt;&gt;"",$J419-$B419,TODAY()-$B419))</f>
        <v/>
      </c>
    </row>
    <row r="420">
      <c r="A420" s="2" t="n"/>
      <c r="B420" s="3" t="n"/>
      <c r="C420" s="2" t="n"/>
      <c r="D420" s="2" t="n"/>
      <c r="E420" s="2" t="n"/>
      <c r="F420" s="2" t="n"/>
      <c r="G420" s="2" t="n"/>
      <c r="H420" s="2" t="n"/>
      <c r="I420" s="2" t="n"/>
      <c r="J420" s="3" t="n"/>
      <c r="K420" s="4">
        <f>IF($B420="","",IF($J420&lt;&gt;"",$J420-$B420,TODAY()-$B420))</f>
        <v/>
      </c>
    </row>
    <row r="421">
      <c r="A421" s="2" t="n"/>
      <c r="B421" s="3" t="n"/>
      <c r="C421" s="2" t="n"/>
      <c r="D421" s="2" t="n"/>
      <c r="E421" s="2" t="n"/>
      <c r="F421" s="2" t="n"/>
      <c r="G421" s="2" t="n"/>
      <c r="H421" s="2" t="n"/>
      <c r="I421" s="2" t="n"/>
      <c r="J421" s="3" t="n"/>
      <c r="K421" s="4">
        <f>IF($B421="","",IF($J421&lt;&gt;"",$J421-$B421,TODAY()-$B421))</f>
        <v/>
      </c>
    </row>
    <row r="422">
      <c r="A422" s="2" t="n"/>
      <c r="B422" s="3" t="n"/>
      <c r="C422" s="2" t="n"/>
      <c r="D422" s="2" t="n"/>
      <c r="E422" s="2" t="n"/>
      <c r="F422" s="2" t="n"/>
      <c r="G422" s="2" t="n"/>
      <c r="H422" s="2" t="n"/>
      <c r="I422" s="2" t="n"/>
      <c r="J422" s="3" t="n"/>
      <c r="K422" s="4">
        <f>IF($B422="","",IF($J422&lt;&gt;"",$J422-$B422,TODAY()-$B422))</f>
        <v/>
      </c>
    </row>
    <row r="423">
      <c r="A423" s="2" t="n"/>
      <c r="B423" s="3" t="n"/>
      <c r="C423" s="2" t="n"/>
      <c r="D423" s="2" t="n"/>
      <c r="E423" s="2" t="n"/>
      <c r="F423" s="2" t="n"/>
      <c r="G423" s="2" t="n"/>
      <c r="H423" s="2" t="n"/>
      <c r="I423" s="2" t="n"/>
      <c r="J423" s="3" t="n"/>
      <c r="K423" s="4">
        <f>IF($B423="","",IF($J423&lt;&gt;"",$J423-$B423,TODAY()-$B423))</f>
        <v/>
      </c>
    </row>
    <row r="424">
      <c r="A424" s="2" t="n"/>
      <c r="B424" s="3" t="n"/>
      <c r="C424" s="2" t="n"/>
      <c r="D424" s="2" t="n"/>
      <c r="E424" s="2" t="n"/>
      <c r="F424" s="2" t="n"/>
      <c r="G424" s="2" t="n"/>
      <c r="H424" s="2" t="n"/>
      <c r="I424" s="2" t="n"/>
      <c r="J424" s="3" t="n"/>
      <c r="K424" s="4">
        <f>IF($B424="","",IF($J424&lt;&gt;"",$J424-$B424,TODAY()-$B424))</f>
        <v/>
      </c>
    </row>
    <row r="425">
      <c r="A425" s="2" t="n"/>
      <c r="B425" s="3" t="n"/>
      <c r="C425" s="2" t="n"/>
      <c r="D425" s="2" t="n"/>
      <c r="E425" s="2" t="n"/>
      <c r="F425" s="2" t="n"/>
      <c r="G425" s="2" t="n"/>
      <c r="H425" s="2" t="n"/>
      <c r="I425" s="2" t="n"/>
      <c r="J425" s="3" t="n"/>
      <c r="K425" s="4">
        <f>IF($B425="","",IF($J425&lt;&gt;"",$J425-$B425,TODAY()-$B425))</f>
        <v/>
      </c>
    </row>
    <row r="426">
      <c r="A426" s="2" t="n"/>
      <c r="B426" s="3" t="n"/>
      <c r="C426" s="2" t="n"/>
      <c r="D426" s="2" t="n"/>
      <c r="E426" s="2" t="n"/>
      <c r="F426" s="2" t="n"/>
      <c r="G426" s="2" t="n"/>
      <c r="H426" s="2" t="n"/>
      <c r="I426" s="2" t="n"/>
      <c r="J426" s="3" t="n"/>
      <c r="K426" s="4">
        <f>IF($B426="","",IF($J426&lt;&gt;"",$J426-$B426,TODAY()-$B426))</f>
        <v/>
      </c>
    </row>
    <row r="427">
      <c r="A427" s="2" t="n"/>
      <c r="B427" s="3" t="n"/>
      <c r="C427" s="2" t="n"/>
      <c r="D427" s="2" t="n"/>
      <c r="E427" s="2" t="n"/>
      <c r="F427" s="2" t="n"/>
      <c r="G427" s="2" t="n"/>
      <c r="H427" s="2" t="n"/>
      <c r="I427" s="2" t="n"/>
      <c r="J427" s="3" t="n"/>
      <c r="K427" s="4">
        <f>IF($B427="","",IF($J427&lt;&gt;"",$J427-$B427,TODAY()-$B427))</f>
        <v/>
      </c>
    </row>
    <row r="428">
      <c r="A428" s="2" t="n"/>
      <c r="B428" s="3" t="n"/>
      <c r="C428" s="2" t="n"/>
      <c r="D428" s="2" t="n"/>
      <c r="E428" s="2" t="n"/>
      <c r="F428" s="2" t="n"/>
      <c r="G428" s="2" t="n"/>
      <c r="H428" s="2" t="n"/>
      <c r="I428" s="2" t="n"/>
      <c r="J428" s="3" t="n"/>
      <c r="K428" s="4">
        <f>IF($B428="","",IF($J428&lt;&gt;"",$J428-$B428,TODAY()-$B428))</f>
        <v/>
      </c>
    </row>
    <row r="429">
      <c r="A429" s="2" t="n"/>
      <c r="B429" s="3" t="n"/>
      <c r="C429" s="2" t="n"/>
      <c r="D429" s="2" t="n"/>
      <c r="E429" s="2" t="n"/>
      <c r="F429" s="2" t="n"/>
      <c r="G429" s="2" t="n"/>
      <c r="H429" s="2" t="n"/>
      <c r="I429" s="2" t="n"/>
      <c r="J429" s="3" t="n"/>
      <c r="K429" s="4">
        <f>IF($B429="","",IF($J429&lt;&gt;"",$J429-$B429,TODAY()-$B429))</f>
        <v/>
      </c>
    </row>
    <row r="430">
      <c r="A430" s="2" t="n"/>
      <c r="B430" s="3" t="n"/>
      <c r="C430" s="2" t="n"/>
      <c r="D430" s="2" t="n"/>
      <c r="E430" s="2" t="n"/>
      <c r="F430" s="2" t="n"/>
      <c r="G430" s="2" t="n"/>
      <c r="H430" s="2" t="n"/>
      <c r="I430" s="2" t="n"/>
      <c r="J430" s="3" t="n"/>
      <c r="K430" s="4">
        <f>IF($B430="","",IF($J430&lt;&gt;"",$J430-$B430,TODAY()-$B430))</f>
        <v/>
      </c>
    </row>
    <row r="431">
      <c r="A431" s="2" t="n"/>
      <c r="B431" s="3" t="n"/>
      <c r="C431" s="2" t="n"/>
      <c r="D431" s="2" t="n"/>
      <c r="E431" s="2" t="n"/>
      <c r="F431" s="2" t="n"/>
      <c r="G431" s="2" t="n"/>
      <c r="H431" s="2" t="n"/>
      <c r="I431" s="2" t="n"/>
      <c r="J431" s="3" t="n"/>
      <c r="K431" s="4">
        <f>IF($B431="","",IF($J431&lt;&gt;"",$J431-$B431,TODAY()-$B431))</f>
        <v/>
      </c>
    </row>
    <row r="432">
      <c r="A432" s="2" t="n"/>
      <c r="B432" s="3" t="n"/>
      <c r="C432" s="2" t="n"/>
      <c r="D432" s="2" t="n"/>
      <c r="E432" s="2" t="n"/>
      <c r="F432" s="2" t="n"/>
      <c r="G432" s="2" t="n"/>
      <c r="H432" s="2" t="n"/>
      <c r="I432" s="2" t="n"/>
      <c r="J432" s="3" t="n"/>
      <c r="K432" s="4">
        <f>IF($B432="","",IF($J432&lt;&gt;"",$J432-$B432,TODAY()-$B432))</f>
        <v/>
      </c>
    </row>
    <row r="433">
      <c r="A433" s="2" t="n"/>
      <c r="B433" s="3" t="n"/>
      <c r="C433" s="2" t="n"/>
      <c r="D433" s="2" t="n"/>
      <c r="E433" s="2" t="n"/>
      <c r="F433" s="2" t="n"/>
      <c r="G433" s="2" t="n"/>
      <c r="H433" s="2" t="n"/>
      <c r="I433" s="2" t="n"/>
      <c r="J433" s="3" t="n"/>
      <c r="K433" s="4">
        <f>IF($B433="","",IF($J433&lt;&gt;"",$J433-$B433,TODAY()-$B433))</f>
        <v/>
      </c>
    </row>
    <row r="434">
      <c r="A434" s="2" t="n"/>
      <c r="B434" s="3" t="n"/>
      <c r="C434" s="2" t="n"/>
      <c r="D434" s="2" t="n"/>
      <c r="E434" s="2" t="n"/>
      <c r="F434" s="2" t="n"/>
      <c r="G434" s="2" t="n"/>
      <c r="H434" s="2" t="n"/>
      <c r="I434" s="2" t="n"/>
      <c r="J434" s="3" t="n"/>
      <c r="K434" s="4">
        <f>IF($B434="","",IF($J434&lt;&gt;"",$J434-$B434,TODAY()-$B434))</f>
        <v/>
      </c>
    </row>
    <row r="435">
      <c r="A435" s="2" t="n"/>
      <c r="B435" s="3" t="n"/>
      <c r="C435" s="2" t="n"/>
      <c r="D435" s="2" t="n"/>
      <c r="E435" s="2" t="n"/>
      <c r="F435" s="2" t="n"/>
      <c r="G435" s="2" t="n"/>
      <c r="H435" s="2" t="n"/>
      <c r="I435" s="2" t="n"/>
      <c r="J435" s="3" t="n"/>
      <c r="K435" s="4">
        <f>IF($B435="","",IF($J435&lt;&gt;"",$J435-$B435,TODAY()-$B435))</f>
        <v/>
      </c>
    </row>
    <row r="436">
      <c r="A436" s="2" t="n"/>
      <c r="B436" s="3" t="n"/>
      <c r="C436" s="2" t="n"/>
      <c r="D436" s="2" t="n"/>
      <c r="E436" s="2" t="n"/>
      <c r="F436" s="2" t="n"/>
      <c r="G436" s="2" t="n"/>
      <c r="H436" s="2" t="n"/>
      <c r="I436" s="2" t="n"/>
      <c r="J436" s="3" t="n"/>
      <c r="K436" s="4">
        <f>IF($B436="","",IF($J436&lt;&gt;"",$J436-$B436,TODAY()-$B436))</f>
        <v/>
      </c>
    </row>
    <row r="437">
      <c r="A437" s="2" t="n"/>
      <c r="B437" s="3" t="n"/>
      <c r="C437" s="2" t="n"/>
      <c r="D437" s="2" t="n"/>
      <c r="E437" s="2" t="n"/>
      <c r="F437" s="2" t="n"/>
      <c r="G437" s="2" t="n"/>
      <c r="H437" s="2" t="n"/>
      <c r="I437" s="2" t="n"/>
      <c r="J437" s="3" t="n"/>
      <c r="K437" s="4">
        <f>IF($B437="","",IF($J437&lt;&gt;"",$J437-$B437,TODAY()-$B437))</f>
        <v/>
      </c>
    </row>
    <row r="438">
      <c r="A438" s="2" t="n"/>
      <c r="B438" s="3" t="n"/>
      <c r="C438" s="2" t="n"/>
      <c r="D438" s="2" t="n"/>
      <c r="E438" s="2" t="n"/>
      <c r="F438" s="2" t="n"/>
      <c r="G438" s="2" t="n"/>
      <c r="H438" s="2" t="n"/>
      <c r="I438" s="2" t="n"/>
      <c r="J438" s="3" t="n"/>
      <c r="K438" s="4">
        <f>IF($B438="","",IF($J438&lt;&gt;"",$J438-$B438,TODAY()-$B438))</f>
        <v/>
      </c>
    </row>
    <row r="439">
      <c r="A439" s="2" t="n"/>
      <c r="B439" s="3" t="n"/>
      <c r="C439" s="2" t="n"/>
      <c r="D439" s="2" t="n"/>
      <c r="E439" s="2" t="n"/>
      <c r="F439" s="2" t="n"/>
      <c r="G439" s="2" t="n"/>
      <c r="H439" s="2" t="n"/>
      <c r="I439" s="2" t="n"/>
      <c r="J439" s="3" t="n"/>
      <c r="K439" s="4">
        <f>IF($B439="","",IF($J439&lt;&gt;"",$J439-$B439,TODAY()-$B439))</f>
        <v/>
      </c>
    </row>
    <row r="440">
      <c r="A440" s="2" t="n"/>
      <c r="B440" s="3" t="n"/>
      <c r="C440" s="2" t="n"/>
      <c r="D440" s="2" t="n"/>
      <c r="E440" s="2" t="n"/>
      <c r="F440" s="2" t="n"/>
      <c r="G440" s="2" t="n"/>
      <c r="H440" s="2" t="n"/>
      <c r="I440" s="2" t="n"/>
      <c r="J440" s="3" t="n"/>
      <c r="K440" s="4">
        <f>IF($B440="","",IF($J440&lt;&gt;"",$J440-$B440,TODAY()-$B440))</f>
        <v/>
      </c>
    </row>
    <row r="441">
      <c r="A441" s="2" t="n"/>
      <c r="B441" s="3" t="n"/>
      <c r="C441" s="2" t="n"/>
      <c r="D441" s="2" t="n"/>
      <c r="E441" s="2" t="n"/>
      <c r="F441" s="2" t="n"/>
      <c r="G441" s="2" t="n"/>
      <c r="H441" s="2" t="n"/>
      <c r="I441" s="2" t="n"/>
      <c r="J441" s="3" t="n"/>
      <c r="K441" s="4">
        <f>IF($B441="","",IF($J441&lt;&gt;"",$J441-$B441,TODAY()-$B441))</f>
        <v/>
      </c>
    </row>
    <row r="442">
      <c r="A442" s="2" t="n"/>
      <c r="B442" s="3" t="n"/>
      <c r="C442" s="2" t="n"/>
      <c r="D442" s="2" t="n"/>
      <c r="E442" s="2" t="n"/>
      <c r="F442" s="2" t="n"/>
      <c r="G442" s="2" t="n"/>
      <c r="H442" s="2" t="n"/>
      <c r="I442" s="2" t="n"/>
      <c r="J442" s="3" t="n"/>
      <c r="K442" s="4">
        <f>IF($B442="","",IF($J442&lt;&gt;"",$J442-$B442,TODAY()-$B442))</f>
        <v/>
      </c>
    </row>
    <row r="443">
      <c r="A443" s="2" t="n"/>
      <c r="B443" s="3" t="n"/>
      <c r="C443" s="2" t="n"/>
      <c r="D443" s="2" t="n"/>
      <c r="E443" s="2" t="n"/>
      <c r="F443" s="2" t="n"/>
      <c r="G443" s="2" t="n"/>
      <c r="H443" s="2" t="n"/>
      <c r="I443" s="2" t="n"/>
      <c r="J443" s="3" t="n"/>
      <c r="K443" s="4">
        <f>IF($B443="","",IF($J443&lt;&gt;"",$J443-$B443,TODAY()-$B443))</f>
        <v/>
      </c>
    </row>
    <row r="444">
      <c r="A444" s="2" t="n"/>
      <c r="B444" s="3" t="n"/>
      <c r="C444" s="2" t="n"/>
      <c r="D444" s="2" t="n"/>
      <c r="E444" s="2" t="n"/>
      <c r="F444" s="2" t="n"/>
      <c r="G444" s="2" t="n"/>
      <c r="H444" s="2" t="n"/>
      <c r="I444" s="2" t="n"/>
      <c r="J444" s="3" t="n"/>
      <c r="K444" s="4">
        <f>IF($B444="","",IF($J444&lt;&gt;"",$J444-$B444,TODAY()-$B444))</f>
        <v/>
      </c>
    </row>
    <row r="445">
      <c r="A445" s="2" t="n"/>
      <c r="B445" s="3" t="n"/>
      <c r="C445" s="2" t="n"/>
      <c r="D445" s="2" t="n"/>
      <c r="E445" s="2" t="n"/>
      <c r="F445" s="2" t="n"/>
      <c r="G445" s="2" t="n"/>
      <c r="H445" s="2" t="n"/>
      <c r="I445" s="2" t="n"/>
      <c r="J445" s="3" t="n"/>
      <c r="K445" s="4">
        <f>IF($B445="","",IF($J445&lt;&gt;"",$J445-$B445,TODAY()-$B445))</f>
        <v/>
      </c>
    </row>
    <row r="446">
      <c r="A446" s="2" t="n"/>
      <c r="B446" s="3" t="n"/>
      <c r="C446" s="2" t="n"/>
      <c r="D446" s="2" t="n"/>
      <c r="E446" s="2" t="n"/>
      <c r="F446" s="2" t="n"/>
      <c r="G446" s="2" t="n"/>
      <c r="H446" s="2" t="n"/>
      <c r="I446" s="2" t="n"/>
      <c r="J446" s="3" t="n"/>
      <c r="K446" s="4">
        <f>IF($B446="","",IF($J446&lt;&gt;"",$J446-$B446,TODAY()-$B446))</f>
        <v/>
      </c>
    </row>
    <row r="447">
      <c r="A447" s="2" t="n"/>
      <c r="B447" s="3" t="n"/>
      <c r="C447" s="2" t="n"/>
      <c r="D447" s="2" t="n"/>
      <c r="E447" s="2" t="n"/>
      <c r="F447" s="2" t="n"/>
      <c r="G447" s="2" t="n"/>
      <c r="H447" s="2" t="n"/>
      <c r="I447" s="2" t="n"/>
      <c r="J447" s="3" t="n"/>
      <c r="K447" s="4">
        <f>IF($B447="","",IF($J447&lt;&gt;"",$J447-$B447,TODAY()-$B447))</f>
        <v/>
      </c>
    </row>
    <row r="448">
      <c r="A448" s="2" t="n"/>
      <c r="B448" s="3" t="n"/>
      <c r="C448" s="2" t="n"/>
      <c r="D448" s="2" t="n"/>
      <c r="E448" s="2" t="n"/>
      <c r="F448" s="2" t="n"/>
      <c r="G448" s="2" t="n"/>
      <c r="H448" s="2" t="n"/>
      <c r="I448" s="2" t="n"/>
      <c r="J448" s="3" t="n"/>
      <c r="K448" s="4">
        <f>IF($B448="","",IF($J448&lt;&gt;"",$J448-$B448,TODAY()-$B448))</f>
        <v/>
      </c>
    </row>
    <row r="449">
      <c r="A449" s="2" t="n"/>
      <c r="B449" s="3" t="n"/>
      <c r="C449" s="2" t="n"/>
      <c r="D449" s="2" t="n"/>
      <c r="E449" s="2" t="n"/>
      <c r="F449" s="2" t="n"/>
      <c r="G449" s="2" t="n"/>
      <c r="H449" s="2" t="n"/>
      <c r="I449" s="2" t="n"/>
      <c r="J449" s="3" t="n"/>
      <c r="K449" s="4">
        <f>IF($B449="","",IF($J449&lt;&gt;"",$J449-$B449,TODAY()-$B449))</f>
        <v/>
      </c>
    </row>
    <row r="450">
      <c r="A450" s="2" t="n"/>
      <c r="B450" s="3" t="n"/>
      <c r="C450" s="2" t="n"/>
      <c r="D450" s="2" t="n"/>
      <c r="E450" s="2" t="n"/>
      <c r="F450" s="2" t="n"/>
      <c r="G450" s="2" t="n"/>
      <c r="H450" s="2" t="n"/>
      <c r="I450" s="2" t="n"/>
      <c r="J450" s="3" t="n"/>
      <c r="K450" s="4">
        <f>IF($B450="","",IF($J450&lt;&gt;"",$J450-$B450,TODAY()-$B450))</f>
        <v/>
      </c>
    </row>
    <row r="451">
      <c r="A451" s="2" t="n"/>
      <c r="B451" s="3" t="n"/>
      <c r="C451" s="2" t="n"/>
      <c r="D451" s="2" t="n"/>
      <c r="E451" s="2" t="n"/>
      <c r="F451" s="2" t="n"/>
      <c r="G451" s="2" t="n"/>
      <c r="H451" s="2" t="n"/>
      <c r="I451" s="2" t="n"/>
      <c r="J451" s="3" t="n"/>
      <c r="K451" s="4">
        <f>IF($B451="","",IF($J451&lt;&gt;"",$J451-$B451,TODAY()-$B451))</f>
        <v/>
      </c>
    </row>
    <row r="452">
      <c r="A452" s="2" t="n"/>
      <c r="B452" s="3" t="n"/>
      <c r="C452" s="2" t="n"/>
      <c r="D452" s="2" t="n"/>
      <c r="E452" s="2" t="n"/>
      <c r="F452" s="2" t="n"/>
      <c r="G452" s="2" t="n"/>
      <c r="H452" s="2" t="n"/>
      <c r="I452" s="2" t="n"/>
      <c r="J452" s="3" t="n"/>
      <c r="K452" s="4">
        <f>IF($B452="","",IF($J452&lt;&gt;"",$J452-$B452,TODAY()-$B452))</f>
        <v/>
      </c>
    </row>
    <row r="453">
      <c r="A453" s="2" t="n"/>
      <c r="B453" s="3" t="n"/>
      <c r="C453" s="2" t="n"/>
      <c r="D453" s="2" t="n"/>
      <c r="E453" s="2" t="n"/>
      <c r="F453" s="2" t="n"/>
      <c r="G453" s="2" t="n"/>
      <c r="H453" s="2" t="n"/>
      <c r="I453" s="2" t="n"/>
      <c r="J453" s="3" t="n"/>
      <c r="K453" s="4">
        <f>IF($B453="","",IF($J453&lt;&gt;"",$J453-$B453,TODAY()-$B453))</f>
        <v/>
      </c>
    </row>
    <row r="454">
      <c r="A454" s="2" t="n"/>
      <c r="B454" s="3" t="n"/>
      <c r="C454" s="2" t="n"/>
      <c r="D454" s="2" t="n"/>
      <c r="E454" s="2" t="n"/>
      <c r="F454" s="2" t="n"/>
      <c r="G454" s="2" t="n"/>
      <c r="H454" s="2" t="n"/>
      <c r="I454" s="2" t="n"/>
      <c r="J454" s="3" t="n"/>
      <c r="K454" s="4">
        <f>IF($B454="","",IF($J454&lt;&gt;"",$J454-$B454,TODAY()-$B454))</f>
        <v/>
      </c>
    </row>
    <row r="455">
      <c r="A455" s="2" t="n"/>
      <c r="B455" s="3" t="n"/>
      <c r="C455" s="2" t="n"/>
      <c r="D455" s="2" t="n"/>
      <c r="E455" s="2" t="n"/>
      <c r="F455" s="2" t="n"/>
      <c r="G455" s="2" t="n"/>
      <c r="H455" s="2" t="n"/>
      <c r="I455" s="2" t="n"/>
      <c r="J455" s="3" t="n"/>
      <c r="K455" s="4">
        <f>IF($B455="","",IF($J455&lt;&gt;"",$J455-$B455,TODAY()-$B455))</f>
        <v/>
      </c>
    </row>
    <row r="456">
      <c r="A456" s="2" t="n"/>
      <c r="B456" s="3" t="n"/>
      <c r="C456" s="2" t="n"/>
      <c r="D456" s="2" t="n"/>
      <c r="E456" s="2" t="n"/>
      <c r="F456" s="2" t="n"/>
      <c r="G456" s="2" t="n"/>
      <c r="H456" s="2" t="n"/>
      <c r="I456" s="2" t="n"/>
      <c r="J456" s="3" t="n"/>
      <c r="K456" s="4">
        <f>IF($B456="","",IF($J456&lt;&gt;"",$J456-$B456,TODAY()-$B456))</f>
        <v/>
      </c>
    </row>
    <row r="457">
      <c r="A457" s="2" t="n"/>
      <c r="B457" s="3" t="n"/>
      <c r="C457" s="2" t="n"/>
      <c r="D457" s="2" t="n"/>
      <c r="E457" s="2" t="n"/>
      <c r="F457" s="2" t="n"/>
      <c r="G457" s="2" t="n"/>
      <c r="H457" s="2" t="n"/>
      <c r="I457" s="2" t="n"/>
      <c r="J457" s="3" t="n"/>
      <c r="K457" s="4">
        <f>IF($B457="","",IF($J457&lt;&gt;"",$J457-$B457,TODAY()-$B457))</f>
        <v/>
      </c>
    </row>
    <row r="458">
      <c r="A458" s="2" t="n"/>
      <c r="B458" s="3" t="n"/>
      <c r="C458" s="2" t="n"/>
      <c r="D458" s="2" t="n"/>
      <c r="E458" s="2" t="n"/>
      <c r="F458" s="2" t="n"/>
      <c r="G458" s="2" t="n"/>
      <c r="H458" s="2" t="n"/>
      <c r="I458" s="2" t="n"/>
      <c r="J458" s="3" t="n"/>
      <c r="K458" s="4">
        <f>IF($B458="","",IF($J458&lt;&gt;"",$J458-$B458,TODAY()-$B458))</f>
        <v/>
      </c>
    </row>
    <row r="459">
      <c r="A459" s="2" t="n"/>
      <c r="B459" s="3" t="n"/>
      <c r="C459" s="2" t="n"/>
      <c r="D459" s="2" t="n"/>
      <c r="E459" s="2" t="n"/>
      <c r="F459" s="2" t="n"/>
      <c r="G459" s="2" t="n"/>
      <c r="H459" s="2" t="n"/>
      <c r="I459" s="2" t="n"/>
      <c r="J459" s="3" t="n"/>
      <c r="K459" s="4">
        <f>IF($B459="","",IF($J459&lt;&gt;"",$J459-$B459,TODAY()-$B459))</f>
        <v/>
      </c>
    </row>
    <row r="460">
      <c r="A460" s="2" t="n"/>
      <c r="B460" s="3" t="n"/>
      <c r="C460" s="2" t="n"/>
      <c r="D460" s="2" t="n"/>
      <c r="E460" s="2" t="n"/>
      <c r="F460" s="2" t="n"/>
      <c r="G460" s="2" t="n"/>
      <c r="H460" s="2" t="n"/>
      <c r="I460" s="2" t="n"/>
      <c r="J460" s="3" t="n"/>
      <c r="K460" s="4">
        <f>IF($B460="","",IF($J460&lt;&gt;"",$J460-$B460,TODAY()-$B460))</f>
        <v/>
      </c>
    </row>
    <row r="461">
      <c r="A461" s="2" t="n"/>
      <c r="B461" s="3" t="n"/>
      <c r="C461" s="2" t="n"/>
      <c r="D461" s="2" t="n"/>
      <c r="E461" s="2" t="n"/>
      <c r="F461" s="2" t="n"/>
      <c r="G461" s="2" t="n"/>
      <c r="H461" s="2" t="n"/>
      <c r="I461" s="2" t="n"/>
      <c r="J461" s="3" t="n"/>
      <c r="K461" s="4">
        <f>IF($B461="","",IF($J461&lt;&gt;"",$J461-$B461,TODAY()-$B461))</f>
        <v/>
      </c>
    </row>
    <row r="462">
      <c r="A462" s="2" t="n"/>
      <c r="B462" s="3" t="n"/>
      <c r="C462" s="2" t="n"/>
      <c r="D462" s="2" t="n"/>
      <c r="E462" s="2" t="n"/>
      <c r="F462" s="2" t="n"/>
      <c r="G462" s="2" t="n"/>
      <c r="H462" s="2" t="n"/>
      <c r="I462" s="2" t="n"/>
      <c r="J462" s="3" t="n"/>
      <c r="K462" s="4">
        <f>IF($B462="","",IF($J462&lt;&gt;"",$J462-$B462,TODAY()-$B462))</f>
        <v/>
      </c>
    </row>
    <row r="463">
      <c r="A463" s="2" t="n"/>
      <c r="B463" s="3" t="n"/>
      <c r="C463" s="2" t="n"/>
      <c r="D463" s="2" t="n"/>
      <c r="E463" s="2" t="n"/>
      <c r="F463" s="2" t="n"/>
      <c r="G463" s="2" t="n"/>
      <c r="H463" s="2" t="n"/>
      <c r="I463" s="2" t="n"/>
      <c r="J463" s="3" t="n"/>
      <c r="K463" s="4">
        <f>IF($B463="","",IF($J463&lt;&gt;"",$J463-$B463,TODAY()-$B463))</f>
        <v/>
      </c>
    </row>
    <row r="464">
      <c r="A464" s="2" t="n"/>
      <c r="B464" s="3" t="n"/>
      <c r="C464" s="2" t="n"/>
      <c r="D464" s="2" t="n"/>
      <c r="E464" s="2" t="n"/>
      <c r="F464" s="2" t="n"/>
      <c r="G464" s="2" t="n"/>
      <c r="H464" s="2" t="n"/>
      <c r="I464" s="2" t="n"/>
      <c r="J464" s="3" t="n"/>
      <c r="K464" s="4">
        <f>IF($B464="","",IF($J464&lt;&gt;"",$J464-$B464,TODAY()-$B464))</f>
        <v/>
      </c>
    </row>
    <row r="465">
      <c r="A465" s="2" t="n"/>
      <c r="B465" s="3" t="n"/>
      <c r="C465" s="2" t="n"/>
      <c r="D465" s="2" t="n"/>
      <c r="E465" s="2" t="n"/>
      <c r="F465" s="2" t="n"/>
      <c r="G465" s="2" t="n"/>
      <c r="H465" s="2" t="n"/>
      <c r="I465" s="2" t="n"/>
      <c r="J465" s="3" t="n"/>
      <c r="K465" s="4">
        <f>IF($B465="","",IF($J465&lt;&gt;"",$J465-$B465,TODAY()-$B465))</f>
        <v/>
      </c>
    </row>
    <row r="466">
      <c r="A466" s="2" t="n"/>
      <c r="B466" s="3" t="n"/>
      <c r="C466" s="2" t="n"/>
      <c r="D466" s="2" t="n"/>
      <c r="E466" s="2" t="n"/>
      <c r="F466" s="2" t="n"/>
      <c r="G466" s="2" t="n"/>
      <c r="H466" s="2" t="n"/>
      <c r="I466" s="2" t="n"/>
      <c r="J466" s="3" t="n"/>
      <c r="K466" s="4">
        <f>IF($B466="","",IF($J466&lt;&gt;"",$J466-$B466,TODAY()-$B466))</f>
        <v/>
      </c>
    </row>
    <row r="467">
      <c r="A467" s="2" t="n"/>
      <c r="B467" s="3" t="n"/>
      <c r="C467" s="2" t="n"/>
      <c r="D467" s="2" t="n"/>
      <c r="E467" s="2" t="n"/>
      <c r="F467" s="2" t="n"/>
      <c r="G467" s="2" t="n"/>
      <c r="H467" s="2" t="n"/>
      <c r="I467" s="2" t="n"/>
      <c r="J467" s="3" t="n"/>
      <c r="K467" s="4">
        <f>IF($B467="","",IF($J467&lt;&gt;"",$J467-$B467,TODAY()-$B467))</f>
        <v/>
      </c>
    </row>
    <row r="468">
      <c r="A468" s="2" t="n"/>
      <c r="B468" s="3" t="n"/>
      <c r="C468" s="2" t="n"/>
      <c r="D468" s="2" t="n"/>
      <c r="E468" s="2" t="n"/>
      <c r="F468" s="2" t="n"/>
      <c r="G468" s="2" t="n"/>
      <c r="H468" s="2" t="n"/>
      <c r="I468" s="2" t="n"/>
      <c r="J468" s="3" t="n"/>
      <c r="K468" s="4">
        <f>IF($B468="","",IF($J468&lt;&gt;"",$J468-$B468,TODAY()-$B468))</f>
        <v/>
      </c>
    </row>
    <row r="469">
      <c r="A469" s="2" t="n"/>
      <c r="B469" s="3" t="n"/>
      <c r="C469" s="2" t="n"/>
      <c r="D469" s="2" t="n"/>
      <c r="E469" s="2" t="n"/>
      <c r="F469" s="2" t="n"/>
      <c r="G469" s="2" t="n"/>
      <c r="H469" s="2" t="n"/>
      <c r="I469" s="2" t="n"/>
      <c r="J469" s="3" t="n"/>
      <c r="K469" s="4">
        <f>IF($B469="","",IF($J469&lt;&gt;"",$J469-$B469,TODAY()-$B469))</f>
        <v/>
      </c>
    </row>
    <row r="470">
      <c r="A470" s="2" t="n"/>
      <c r="B470" s="3" t="n"/>
      <c r="C470" s="2" t="n"/>
      <c r="D470" s="2" t="n"/>
      <c r="E470" s="2" t="n"/>
      <c r="F470" s="2" t="n"/>
      <c r="G470" s="2" t="n"/>
      <c r="H470" s="2" t="n"/>
      <c r="I470" s="2" t="n"/>
      <c r="J470" s="3" t="n"/>
      <c r="K470" s="4">
        <f>IF($B470="","",IF($J470&lt;&gt;"",$J470-$B470,TODAY()-$B470))</f>
        <v/>
      </c>
    </row>
    <row r="471">
      <c r="A471" s="2" t="n"/>
      <c r="B471" s="3" t="n"/>
      <c r="C471" s="2" t="n"/>
      <c r="D471" s="2" t="n"/>
      <c r="E471" s="2" t="n"/>
      <c r="F471" s="2" t="n"/>
      <c r="G471" s="2" t="n"/>
      <c r="H471" s="2" t="n"/>
      <c r="I471" s="2" t="n"/>
      <c r="J471" s="3" t="n"/>
      <c r="K471" s="4">
        <f>IF($B471="","",IF($J471&lt;&gt;"",$J471-$B471,TODAY()-$B471))</f>
        <v/>
      </c>
    </row>
    <row r="472">
      <c r="A472" s="2" t="n"/>
      <c r="B472" s="3" t="n"/>
      <c r="C472" s="2" t="n"/>
      <c r="D472" s="2" t="n"/>
      <c r="E472" s="2" t="n"/>
      <c r="F472" s="2" t="n"/>
      <c r="G472" s="2" t="n"/>
      <c r="H472" s="2" t="n"/>
      <c r="I472" s="2" t="n"/>
      <c r="J472" s="3" t="n"/>
      <c r="K472" s="4">
        <f>IF($B472="","",IF($J472&lt;&gt;"",$J472-$B472,TODAY()-$B472))</f>
        <v/>
      </c>
    </row>
    <row r="473">
      <c r="A473" s="2" t="n"/>
      <c r="B473" s="3" t="n"/>
      <c r="C473" s="2" t="n"/>
      <c r="D473" s="2" t="n"/>
      <c r="E473" s="2" t="n"/>
      <c r="F473" s="2" t="n"/>
      <c r="G473" s="2" t="n"/>
      <c r="H473" s="2" t="n"/>
      <c r="I473" s="2" t="n"/>
      <c r="J473" s="3" t="n"/>
      <c r="K473" s="4">
        <f>IF($B473="","",IF($J473&lt;&gt;"",$J473-$B473,TODAY()-$B473))</f>
        <v/>
      </c>
    </row>
    <row r="474">
      <c r="A474" s="2" t="n"/>
      <c r="B474" s="3" t="n"/>
      <c r="C474" s="2" t="n"/>
      <c r="D474" s="2" t="n"/>
      <c r="E474" s="2" t="n"/>
      <c r="F474" s="2" t="n"/>
      <c r="G474" s="2" t="n"/>
      <c r="H474" s="2" t="n"/>
      <c r="I474" s="2" t="n"/>
      <c r="J474" s="3" t="n"/>
      <c r="K474" s="4">
        <f>IF($B474="","",IF($J474&lt;&gt;"",$J474-$B474,TODAY()-$B474))</f>
        <v/>
      </c>
    </row>
    <row r="475">
      <c r="A475" s="2" t="n"/>
      <c r="B475" s="3" t="n"/>
      <c r="C475" s="2" t="n"/>
      <c r="D475" s="2" t="n"/>
      <c r="E475" s="2" t="n"/>
      <c r="F475" s="2" t="n"/>
      <c r="G475" s="2" t="n"/>
      <c r="H475" s="2" t="n"/>
      <c r="I475" s="2" t="n"/>
      <c r="J475" s="3" t="n"/>
      <c r="K475" s="4">
        <f>IF($B475="","",IF($J475&lt;&gt;"",$J475-$B475,TODAY()-$B475))</f>
        <v/>
      </c>
    </row>
    <row r="476">
      <c r="A476" s="2" t="n"/>
      <c r="B476" s="3" t="n"/>
      <c r="C476" s="2" t="n"/>
      <c r="D476" s="2" t="n"/>
      <c r="E476" s="2" t="n"/>
      <c r="F476" s="2" t="n"/>
      <c r="G476" s="2" t="n"/>
      <c r="H476" s="2" t="n"/>
      <c r="I476" s="2" t="n"/>
      <c r="J476" s="3" t="n"/>
      <c r="K476" s="4">
        <f>IF($B476="","",IF($J476&lt;&gt;"",$J476-$B476,TODAY()-$B476))</f>
        <v/>
      </c>
    </row>
    <row r="477">
      <c r="A477" s="2" t="n"/>
      <c r="B477" s="3" t="n"/>
      <c r="C477" s="2" t="n"/>
      <c r="D477" s="2" t="n"/>
      <c r="E477" s="2" t="n"/>
      <c r="F477" s="2" t="n"/>
      <c r="G477" s="2" t="n"/>
      <c r="H477" s="2" t="n"/>
      <c r="I477" s="2" t="n"/>
      <c r="J477" s="3" t="n"/>
      <c r="K477" s="4">
        <f>IF($B477="","",IF($J477&lt;&gt;"",$J477-$B477,TODAY()-$B477))</f>
        <v/>
      </c>
    </row>
    <row r="478">
      <c r="A478" s="2" t="n"/>
      <c r="B478" s="3" t="n"/>
      <c r="C478" s="2" t="n"/>
      <c r="D478" s="2" t="n"/>
      <c r="E478" s="2" t="n"/>
      <c r="F478" s="2" t="n"/>
      <c r="G478" s="2" t="n"/>
      <c r="H478" s="2" t="n"/>
      <c r="I478" s="2" t="n"/>
      <c r="J478" s="3" t="n"/>
      <c r="K478" s="4">
        <f>IF($B478="","",IF($J478&lt;&gt;"",$J478-$B478,TODAY()-$B478))</f>
        <v/>
      </c>
    </row>
    <row r="479">
      <c r="A479" s="2" t="n"/>
      <c r="B479" s="3" t="n"/>
      <c r="C479" s="2" t="n"/>
      <c r="D479" s="2" t="n"/>
      <c r="E479" s="2" t="n"/>
      <c r="F479" s="2" t="n"/>
      <c r="G479" s="2" t="n"/>
      <c r="H479" s="2" t="n"/>
      <c r="I479" s="2" t="n"/>
      <c r="J479" s="3" t="n"/>
      <c r="K479" s="4">
        <f>IF($B479="","",IF($J479&lt;&gt;"",$J479-$B479,TODAY()-$B479))</f>
        <v/>
      </c>
    </row>
    <row r="480">
      <c r="A480" s="2" t="n"/>
      <c r="B480" s="3" t="n"/>
      <c r="C480" s="2" t="n"/>
      <c r="D480" s="2" t="n"/>
      <c r="E480" s="2" t="n"/>
      <c r="F480" s="2" t="n"/>
      <c r="G480" s="2" t="n"/>
      <c r="H480" s="2" t="n"/>
      <c r="I480" s="2" t="n"/>
      <c r="J480" s="3" t="n"/>
      <c r="K480" s="4">
        <f>IF($B480="","",IF($J480&lt;&gt;"",$J480-$B480,TODAY()-$B480))</f>
        <v/>
      </c>
    </row>
    <row r="481">
      <c r="A481" s="2" t="n"/>
      <c r="B481" s="3" t="n"/>
      <c r="C481" s="2" t="n"/>
      <c r="D481" s="2" t="n"/>
      <c r="E481" s="2" t="n"/>
      <c r="F481" s="2" t="n"/>
      <c r="G481" s="2" t="n"/>
      <c r="H481" s="2" t="n"/>
      <c r="I481" s="2" t="n"/>
      <c r="J481" s="3" t="n"/>
      <c r="K481" s="4">
        <f>IF($B481="","",IF($J481&lt;&gt;"",$J481-$B481,TODAY()-$B481))</f>
        <v/>
      </c>
    </row>
    <row r="482">
      <c r="A482" s="2" t="n"/>
      <c r="B482" s="3" t="n"/>
      <c r="C482" s="2" t="n"/>
      <c r="D482" s="2" t="n"/>
      <c r="E482" s="2" t="n"/>
      <c r="F482" s="2" t="n"/>
      <c r="G482" s="2" t="n"/>
      <c r="H482" s="2" t="n"/>
      <c r="I482" s="2" t="n"/>
      <c r="J482" s="3" t="n"/>
      <c r="K482" s="4">
        <f>IF($B482="","",IF($J482&lt;&gt;"",$J482-$B482,TODAY()-$B482))</f>
        <v/>
      </c>
    </row>
    <row r="483">
      <c r="A483" s="2" t="n"/>
      <c r="B483" s="3" t="n"/>
      <c r="C483" s="2" t="n"/>
      <c r="D483" s="2" t="n"/>
      <c r="E483" s="2" t="n"/>
      <c r="F483" s="2" t="n"/>
      <c r="G483" s="2" t="n"/>
      <c r="H483" s="2" t="n"/>
      <c r="I483" s="2" t="n"/>
      <c r="J483" s="3" t="n"/>
      <c r="K483" s="4">
        <f>IF($B483="","",IF($J483&lt;&gt;"",$J483-$B483,TODAY()-$B483))</f>
        <v/>
      </c>
    </row>
    <row r="484">
      <c r="A484" s="2" t="n"/>
      <c r="B484" s="3" t="n"/>
      <c r="C484" s="2" t="n"/>
      <c r="D484" s="2" t="n"/>
      <c r="E484" s="2" t="n"/>
      <c r="F484" s="2" t="n"/>
      <c r="G484" s="2" t="n"/>
      <c r="H484" s="2" t="n"/>
      <c r="I484" s="2" t="n"/>
      <c r="J484" s="3" t="n"/>
      <c r="K484" s="4">
        <f>IF($B484="","",IF($J484&lt;&gt;"",$J484-$B484,TODAY()-$B484))</f>
        <v/>
      </c>
    </row>
    <row r="485">
      <c r="A485" s="2" t="n"/>
      <c r="B485" s="3" t="n"/>
      <c r="C485" s="2" t="n"/>
      <c r="D485" s="2" t="n"/>
      <c r="E485" s="2" t="n"/>
      <c r="F485" s="2" t="n"/>
      <c r="G485" s="2" t="n"/>
      <c r="H485" s="2" t="n"/>
      <c r="I485" s="2" t="n"/>
      <c r="J485" s="3" t="n"/>
      <c r="K485" s="4">
        <f>IF($B485="","",IF($J485&lt;&gt;"",$J485-$B485,TODAY()-$B485))</f>
        <v/>
      </c>
    </row>
    <row r="486">
      <c r="A486" s="2" t="n"/>
      <c r="B486" s="3" t="n"/>
      <c r="C486" s="2" t="n"/>
      <c r="D486" s="2" t="n"/>
      <c r="E486" s="2" t="n"/>
      <c r="F486" s="2" t="n"/>
      <c r="G486" s="2" t="n"/>
      <c r="H486" s="2" t="n"/>
      <c r="I486" s="2" t="n"/>
      <c r="J486" s="3" t="n"/>
      <c r="K486" s="4">
        <f>IF($B486="","",IF($J486&lt;&gt;"",$J486-$B486,TODAY()-$B486))</f>
        <v/>
      </c>
    </row>
    <row r="487">
      <c r="A487" s="2" t="n"/>
      <c r="B487" s="3" t="n"/>
      <c r="C487" s="2" t="n"/>
      <c r="D487" s="2" t="n"/>
      <c r="E487" s="2" t="n"/>
      <c r="F487" s="2" t="n"/>
      <c r="G487" s="2" t="n"/>
      <c r="H487" s="2" t="n"/>
      <c r="I487" s="2" t="n"/>
      <c r="J487" s="3" t="n"/>
      <c r="K487" s="4">
        <f>IF($B487="","",IF($J487&lt;&gt;"",$J487-$B487,TODAY()-$B487))</f>
        <v/>
      </c>
    </row>
    <row r="488">
      <c r="A488" s="2" t="n"/>
      <c r="B488" s="3" t="n"/>
      <c r="C488" s="2" t="n"/>
      <c r="D488" s="2" t="n"/>
      <c r="E488" s="2" t="n"/>
      <c r="F488" s="2" t="n"/>
      <c r="G488" s="2" t="n"/>
      <c r="H488" s="2" t="n"/>
      <c r="I488" s="2" t="n"/>
      <c r="J488" s="3" t="n"/>
      <c r="K488" s="4">
        <f>IF($B488="","",IF($J488&lt;&gt;"",$J488-$B488,TODAY()-$B488))</f>
        <v/>
      </c>
    </row>
    <row r="489">
      <c r="A489" s="2" t="n"/>
      <c r="B489" s="3" t="n"/>
      <c r="C489" s="2" t="n"/>
      <c r="D489" s="2" t="n"/>
      <c r="E489" s="2" t="n"/>
      <c r="F489" s="2" t="n"/>
      <c r="G489" s="2" t="n"/>
      <c r="H489" s="2" t="n"/>
      <c r="I489" s="2" t="n"/>
      <c r="J489" s="3" t="n"/>
      <c r="K489" s="4">
        <f>IF($B489="","",IF($J489&lt;&gt;"",$J489-$B489,TODAY()-$B489))</f>
        <v/>
      </c>
    </row>
    <row r="490">
      <c r="A490" s="2" t="n"/>
      <c r="B490" s="3" t="n"/>
      <c r="C490" s="2" t="n"/>
      <c r="D490" s="2" t="n"/>
      <c r="E490" s="2" t="n"/>
      <c r="F490" s="2" t="n"/>
      <c r="G490" s="2" t="n"/>
      <c r="H490" s="2" t="n"/>
      <c r="I490" s="2" t="n"/>
      <c r="J490" s="3" t="n"/>
      <c r="K490" s="4">
        <f>IF($B490="","",IF($J490&lt;&gt;"",$J490-$B490,TODAY()-$B490))</f>
        <v/>
      </c>
    </row>
    <row r="491">
      <c r="A491" s="2" t="n"/>
      <c r="B491" s="3" t="n"/>
      <c r="C491" s="2" t="n"/>
      <c r="D491" s="2" t="n"/>
      <c r="E491" s="2" t="n"/>
      <c r="F491" s="2" t="n"/>
      <c r="G491" s="2" t="n"/>
      <c r="H491" s="2" t="n"/>
      <c r="I491" s="2" t="n"/>
      <c r="J491" s="3" t="n"/>
      <c r="K491" s="4">
        <f>IF($B491="","",IF($J491&lt;&gt;"",$J491-$B491,TODAY()-$B491))</f>
        <v/>
      </c>
    </row>
    <row r="492">
      <c r="A492" s="2" t="n"/>
      <c r="B492" s="3" t="n"/>
      <c r="C492" s="2" t="n"/>
      <c r="D492" s="2" t="n"/>
      <c r="E492" s="2" t="n"/>
      <c r="F492" s="2" t="n"/>
      <c r="G492" s="2" t="n"/>
      <c r="H492" s="2" t="n"/>
      <c r="I492" s="2" t="n"/>
      <c r="J492" s="3" t="n"/>
      <c r="K492" s="4">
        <f>IF($B492="","",IF($J492&lt;&gt;"",$J492-$B492,TODAY()-$B492))</f>
        <v/>
      </c>
    </row>
    <row r="493">
      <c r="A493" s="2" t="n"/>
      <c r="B493" s="3" t="n"/>
      <c r="C493" s="2" t="n"/>
      <c r="D493" s="2" t="n"/>
      <c r="E493" s="2" t="n"/>
      <c r="F493" s="2" t="n"/>
      <c r="G493" s="2" t="n"/>
      <c r="H493" s="2" t="n"/>
      <c r="I493" s="2" t="n"/>
      <c r="J493" s="3" t="n"/>
      <c r="K493" s="4">
        <f>IF($B493="","",IF($J493&lt;&gt;"",$J493-$B493,TODAY()-$B493))</f>
        <v/>
      </c>
    </row>
    <row r="494">
      <c r="A494" s="2" t="n"/>
      <c r="B494" s="3" t="n"/>
      <c r="C494" s="2" t="n"/>
      <c r="D494" s="2" t="n"/>
      <c r="E494" s="2" t="n"/>
      <c r="F494" s="2" t="n"/>
      <c r="G494" s="2" t="n"/>
      <c r="H494" s="2" t="n"/>
      <c r="I494" s="2" t="n"/>
      <c r="J494" s="3" t="n"/>
      <c r="K494" s="4">
        <f>IF($B494="","",IF($J494&lt;&gt;"",$J494-$B494,TODAY()-$B494))</f>
        <v/>
      </c>
    </row>
    <row r="495">
      <c r="A495" s="2" t="n"/>
      <c r="B495" s="3" t="n"/>
      <c r="C495" s="2" t="n"/>
      <c r="D495" s="2" t="n"/>
      <c r="E495" s="2" t="n"/>
      <c r="F495" s="2" t="n"/>
      <c r="G495" s="2" t="n"/>
      <c r="H495" s="2" t="n"/>
      <c r="I495" s="2" t="n"/>
      <c r="J495" s="3" t="n"/>
      <c r="K495" s="4">
        <f>IF($B495="","",IF($J495&lt;&gt;"",$J495-$B495,TODAY()-$B495))</f>
        <v/>
      </c>
    </row>
    <row r="496">
      <c r="A496" s="2" t="n"/>
      <c r="B496" s="3" t="n"/>
      <c r="C496" s="2" t="n"/>
      <c r="D496" s="2" t="n"/>
      <c r="E496" s="2" t="n"/>
      <c r="F496" s="2" t="n"/>
      <c r="G496" s="2" t="n"/>
      <c r="H496" s="2" t="n"/>
      <c r="I496" s="2" t="n"/>
      <c r="J496" s="3" t="n"/>
      <c r="K496" s="4">
        <f>IF($B496="","",IF($J496&lt;&gt;"",$J496-$B496,TODAY()-$B496))</f>
        <v/>
      </c>
    </row>
    <row r="497">
      <c r="A497" s="2" t="n"/>
      <c r="B497" s="3" t="n"/>
      <c r="C497" s="2" t="n"/>
      <c r="D497" s="2" t="n"/>
      <c r="E497" s="2" t="n"/>
      <c r="F497" s="2" t="n"/>
      <c r="G497" s="2" t="n"/>
      <c r="H497" s="2" t="n"/>
      <c r="I497" s="2" t="n"/>
      <c r="J497" s="3" t="n"/>
      <c r="K497" s="4">
        <f>IF($B497="","",IF($J497&lt;&gt;"",$J497-$B497,TODAY()-$B497))</f>
        <v/>
      </c>
    </row>
    <row r="498">
      <c r="A498" s="2" t="n"/>
      <c r="B498" s="3" t="n"/>
      <c r="C498" s="2" t="n"/>
      <c r="D498" s="2" t="n"/>
      <c r="E498" s="2" t="n"/>
      <c r="F498" s="2" t="n"/>
      <c r="G498" s="2" t="n"/>
      <c r="H498" s="2" t="n"/>
      <c r="I498" s="2" t="n"/>
      <c r="J498" s="3" t="n"/>
      <c r="K498" s="4">
        <f>IF($B498="","",IF($J498&lt;&gt;"",$J498-$B498,TODAY()-$B498))</f>
        <v/>
      </c>
    </row>
    <row r="499">
      <c r="A499" s="2" t="n"/>
      <c r="B499" s="3" t="n"/>
      <c r="C499" s="2" t="n"/>
      <c r="D499" s="2" t="n"/>
      <c r="E499" s="2" t="n"/>
      <c r="F499" s="2" t="n"/>
      <c r="G499" s="2" t="n"/>
      <c r="H499" s="2" t="n"/>
      <c r="I499" s="2" t="n"/>
      <c r="J499" s="3" t="n"/>
      <c r="K499" s="4">
        <f>IF($B499="","",IF($J499&lt;&gt;"",$J499-$B499,TODAY()-$B499))</f>
        <v/>
      </c>
    </row>
    <row r="500">
      <c r="A500" s="2" t="n"/>
      <c r="B500" s="3" t="n"/>
      <c r="C500" s="2" t="n"/>
      <c r="D500" s="2" t="n"/>
      <c r="E500" s="2" t="n"/>
      <c r="F500" s="2" t="n"/>
      <c r="G500" s="2" t="n"/>
      <c r="H500" s="2" t="n"/>
      <c r="I500" s="2" t="n"/>
      <c r="J500" s="3" t="n"/>
      <c r="K500" s="4">
        <f>IF($B500="","",IF($J500&lt;&gt;"",$J500-$B500,TODAY()-$B500))</f>
        <v/>
      </c>
    </row>
    <row r="501">
      <c r="A501" s="2" t="n"/>
      <c r="B501" s="3" t="n"/>
      <c r="C501" s="2" t="n"/>
      <c r="D501" s="2" t="n"/>
      <c r="E501" s="2" t="n"/>
      <c r="F501" s="2" t="n"/>
      <c r="G501" s="2" t="n"/>
      <c r="H501" s="2" t="n"/>
      <c r="I501" s="2" t="n"/>
      <c r="J501" s="3" t="n"/>
      <c r="K501" s="4">
        <f>IF($B501="","",IF($J501&lt;&gt;"",$J501-$B501,TODAY()-$B501))</f>
        <v/>
      </c>
    </row>
  </sheetData>
  <conditionalFormatting sqref="B2:B501">
    <cfRule type="expression" priority="1" dxfId="0">
      <formula>AND($B2&lt;&gt;"",NOT(ISNUMBER($B2)))</formula>
    </cfRule>
  </conditionalFormatting>
  <conditionalFormatting sqref="G2:G501">
    <cfRule type="cellIs" priority="2" operator="equal" dxfId="1">
      <formula>"Haute"</formula>
    </cfRule>
  </conditionalFormatting>
  <conditionalFormatting sqref="I2:I501">
    <cfRule type="cellIs" priority="3" operator="equal" dxfId="2">
      <formula>"Résolue"</formula>
    </cfRule>
  </conditionalFormatting>
  <conditionalFormatting sqref="J2:J501">
    <cfRule type="expression" priority="4" dxfId="0">
      <formula>AND($J2&lt;&gt;"",NOT(ISNUMBER($J2)))</formula>
    </cfRule>
  </conditionalFormatting>
  <conditionalFormatting sqref="K2:K501">
    <cfRule type="expression" priority="5" dxfId="0">
      <formula>AND(ISNUMBER($K2),$K2&gt;3,$I2&lt;&gt;"Résolue")</formula>
    </cfRule>
  </conditionalFormatting>
  <dataValidations count="4">
    <dataValidation sqref="C2:C501" showDropDown="0" showInputMessage="0" showErrorMessage="0" allowBlank="1" errorTitle="Canal" error="Choisissez dans la liste : WhatsApp, Appel, Messenger, E-mail, Sur place." type="list">
      <formula1>"WhatsApp,Appel,Messenger,E-mail,Sur place"</formula1>
    </dataValidation>
    <dataValidation sqref="E2:E501" showDropDown="0" showInputMessage="0" showErrorMessage="0" allowBlank="1" errorTitle="Sujet" error="Choisissez dans la liste : Livraison, Paiement, Remboursement, Panne ou défaut, Information, Autre." type="list">
      <formula1>"Livraison,Paiement,Remboursement,Panne ou défaut,Information,Autre"</formula1>
    </dataValidation>
    <dataValidation sqref="G2:G501" showDropDown="0" showInputMessage="0" showErrorMessage="0" allowBlank="1" errorTitle="Urgence" error="Choisissez dans la liste : Haute, Moyenne, Basse." type="list">
      <formula1>"Haute,Moyenne,Basse"</formula1>
    </dataValidation>
    <dataValidation sqref="I2:I501" showDropDown="0" showInputMessage="0" showErrorMessage="0" allowBlank="1" errorTitle="État" error="Choisissez dans la liste : Ouverte, En cours, Résolue." type="list">
      <formula1>"Ouverte,En cours,Résolue"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Les demandes en un coup d'œil</t>
        </is>
      </c>
    </row>
    <row r="3">
      <c r="A3" s="2" t="inlineStr">
        <is>
          <t>Demandes reçues</t>
        </is>
      </c>
      <c r="B3" s="6">
        <f>COUNT(Demandes!$B$2:$B$501)</f>
        <v/>
      </c>
    </row>
    <row r="4">
      <c r="A4" s="2" t="inlineStr">
        <is>
          <t>Demandes ouvertes ou en cours</t>
        </is>
      </c>
      <c r="B4" s="6">
        <f>COUNTIF(Demandes!$I$2:$I$501,"Ouverte")+COUNTIF(Demandes!$I$2:$I$501,"En cours")</f>
        <v/>
      </c>
    </row>
    <row r="5">
      <c r="A5" s="2" t="inlineStr">
        <is>
          <t>Demandes urgentes pas encore résolues</t>
        </is>
      </c>
      <c r="B5" s="6">
        <f>COUNTIFS(Demandes!$G$2:$G$501,"Haute",Demandes!$I$2:$I$501,"&lt;&gt;Résolue",Demandes!$B$2:$B$501,"&gt;0")</f>
        <v/>
      </c>
    </row>
    <row r="6">
      <c r="A6" s="2" t="inlineStr">
        <is>
          <t>Demandes en attente depuis plus de 3 jours</t>
        </is>
      </c>
      <c r="B6" s="6">
        <f>COUNTIFS(Demandes!$K$2:$K$501,"&gt;3",Demandes!$I$2:$I$501,"&lt;&gt;Résolue")</f>
        <v/>
      </c>
    </row>
    <row r="7">
      <c r="A7" s="2" t="inlineStr">
        <is>
          <t>Délai moyen de résolution, en jours</t>
        </is>
      </c>
      <c r="B7" s="7">
        <f>IF(COUNTIF(Demandes!$I$2:$I$501,"Résolue")=0,"",AVERAGEIFS(Demandes!$K$2:$K$501,Demandes!$I$2:$I$501,"Résolue"))</f>
        <v/>
      </c>
    </row>
    <row r="8">
      <c r="A8" s="2" t="inlineStr">
        <is>
          <t>Demandes sur le sujet : Livraison</t>
        </is>
      </c>
      <c r="B8" s="6">
        <f>COUNTIF(Demandes!$E$2:$E$501,"Livraison")</f>
        <v/>
      </c>
    </row>
    <row r="9">
      <c r="A9" s="2" t="inlineStr">
        <is>
          <t>Demandes sur le sujet : Paiement</t>
        </is>
      </c>
      <c r="B9" s="6">
        <f>COUNTIF(Demandes!$E$2:$E$501,"Paiement")</f>
        <v/>
      </c>
    </row>
    <row r="10">
      <c r="A10" s="2" t="inlineStr">
        <is>
          <t>Demandes sur le sujet : Remboursement</t>
        </is>
      </c>
      <c r="B10" s="6">
        <f>COUNTIF(Demandes!$E$2:$E$501,"Remboursement")</f>
        <v/>
      </c>
    </row>
    <row r="11">
      <c r="A11" s="2" t="inlineStr">
        <is>
          <t>Demandes sur le sujet : Panne ou défaut</t>
        </is>
      </c>
      <c r="B11" s="6">
        <f>COUNTIF(Demandes!$E$2:$E$501,"Panne ou défaut")</f>
        <v/>
      </c>
    </row>
    <row r="12">
      <c r="A12" s="2" t="inlineStr">
        <is>
          <t>Demandes sur le sujet : Information</t>
        </is>
      </c>
      <c r="B12" s="6">
        <f>COUNTIF(Demandes!$E$2:$E$501,"Information")</f>
        <v/>
      </c>
    </row>
    <row r="13">
      <c r="A13" s="2" t="inlineStr">
        <is>
          <t>Demandes sur le sujet : Autre</t>
        </is>
      </c>
      <c r="B13" s="6">
        <f>COUNTIF(Demandes!$E$2:$E$501,"Autre")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15" customWidth="1" min="4" max="4"/>
    <col width="15" customWidth="1" min="5" max="5"/>
    <col width="32" customWidth="1" min="6" max="6"/>
    <col width="9" customWidth="1" min="7" max="7"/>
    <col width="14" customWidth="1" min="8" max="8"/>
    <col width="10" customWidth="1" min="9" max="9"/>
    <col width="12" customWidth="1" min="10" max="10"/>
    <col width="8" customWidth="1" min="11" max="11"/>
  </cols>
  <sheetData>
    <row r="1" ht="16" customHeight="1">
      <c r="A1" s="5" t="inlineStr">
        <is>
          <t>Registre des demandes : mode d'emploi</t>
        </is>
      </c>
    </row>
    <row r="2" ht="16" customHeight="1"/>
    <row r="3" ht="16" customHeight="1">
      <c r="A3" s="8" t="inlineStr">
        <is>
          <t>COMMENT REMPLIR :</t>
        </is>
      </c>
    </row>
    <row r="4" ht="16" customHeight="1">
      <c r="A4" s="9" t="inlineStr">
        <is>
          <t>1. Une ligne par demande. Écrivez seulement dans les cases blanches : la case grise « Jours » se calcule seule.</t>
        </is>
      </c>
    </row>
    <row r="5" ht="16" customHeight="1">
      <c r="A5" s="9" t="inlineStr">
        <is>
          <t>2. Dates sous la forme 05/10/2026. Une case rouge dans une colonne de date : retapez-la.</t>
        </is>
      </c>
    </row>
    <row r="6" ht="16" customHeight="1">
      <c r="A6" s="9" t="inlineStr">
        <is>
          <t>3. Repère du client : un prénom, un quartier ou les derniers chiffres d'une commande. Jamais le nom complet, le numéro ou la référence de paiement.</t>
        </is>
      </c>
    </row>
    <row r="7" ht="32" customHeight="1">
      <c r="A7" s="9" t="inlineStr">
        <is>
          <t>4. Choisissez le canal, le sujet, l'urgence et l'état dans les listes. Mettez l'état « Ouverte » à l'arrivée, puis « Résolue » et la date quand la demande est réglée.</t>
        </is>
      </c>
    </row>
    <row r="8" ht="16" customHeight="1">
      <c r="A8" s="9" t="inlineStr"/>
    </row>
    <row r="9" ht="16" customHeight="1">
      <c r="A9" s="8" t="inlineStr">
        <is>
          <t>LA COLONNE JOURS :</t>
        </is>
      </c>
    </row>
    <row r="10" ht="32" customHeight="1">
      <c r="A10" s="9" t="inlineStr">
        <is>
          <t>Pour une demande résolue : le nombre de jours qu'il a fallu. Pour une demande encore ouverte : le nombre de jours depuis son arrivée. Au-delà de 3 jours, la case passe en rouge.</t>
        </is>
      </c>
    </row>
    <row r="11" ht="16" customHeight="1">
      <c r="A11" s="9" t="inlineStr"/>
    </row>
    <row r="12" ht="16" customHeight="1">
      <c r="A12" s="8" t="inlineStr">
        <is>
          <t>L'ONGLET RÉSUMÉ :</t>
        </is>
      </c>
    </row>
    <row r="13" ht="32" customHeight="1">
      <c r="A13" s="9" t="inlineStr">
        <is>
          <t>Il compte seul les demandes ouvertes, les demandes urgentes, celles qui attendent depuis plus de 3 jours, le délai moyen de résolution et le nombre de demandes par sujet.</t>
        </is>
      </c>
    </row>
    <row r="14" ht="16" customHeight="1">
      <c r="A14" s="9" t="inlineStr"/>
    </row>
    <row r="15" ht="16" customHeight="1">
      <c r="A15" s="8" t="inlineStr">
        <is>
          <t>EXEMPLE (ne modifiez pas cet exemple, il sert seulement de modèle) :</t>
        </is>
      </c>
    </row>
    <row r="16" ht="46" customHeight="1">
      <c r="A16" s="1" t="inlineStr">
        <is>
          <t>N°</t>
        </is>
      </c>
      <c r="B16" s="1" t="inlineStr">
        <is>
          <t>Reçue le</t>
        </is>
      </c>
      <c r="C16" s="1" t="inlineStr">
        <is>
          <t>Canal</t>
        </is>
      </c>
      <c r="D16" s="1" t="inlineStr">
        <is>
          <t>Repère du client</t>
        </is>
      </c>
      <c r="E16" s="1" t="inlineStr">
        <is>
          <t>Sujet</t>
        </is>
      </c>
      <c r="F16" s="1" t="inlineStr">
        <is>
          <t>La demande, en quelques mots</t>
        </is>
      </c>
      <c r="G16" s="1" t="inlineStr">
        <is>
          <t>Urgence</t>
        </is>
      </c>
      <c r="H16" s="1" t="inlineStr">
        <is>
          <t>Confiée à</t>
        </is>
      </c>
      <c r="I16" s="1" t="inlineStr">
        <is>
          <t>État</t>
        </is>
      </c>
      <c r="J16" s="1" t="inlineStr">
        <is>
          <t>Résolue le</t>
        </is>
      </c>
      <c r="K16" s="1" t="inlineStr">
        <is>
          <t>Jours</t>
        </is>
      </c>
    </row>
    <row r="17" ht="32" customHeight="1">
      <c r="A17" s="2" t="inlineStr">
        <is>
          <t>D-201</t>
        </is>
      </c>
      <c r="B17" s="3" t="n">
        <v>46300</v>
      </c>
      <c r="C17" s="2" t="inlineStr">
        <is>
          <t>WhatsApp</t>
        </is>
      </c>
      <c r="D17" s="2" t="inlineStr">
        <is>
          <t>Commande 4512</t>
        </is>
      </c>
      <c r="E17" s="2" t="inlineStr">
        <is>
          <t>Paiement</t>
        </is>
      </c>
      <c r="F17" s="2" t="inlineStr">
        <is>
          <t>Deux transferts pour une seule commande</t>
        </is>
      </c>
      <c r="G17" s="2" t="inlineStr">
        <is>
          <t>Haute</t>
        </is>
      </c>
      <c r="H17" s="2" t="inlineStr">
        <is>
          <t>Caisse</t>
        </is>
      </c>
      <c r="I17" s="2" t="inlineStr">
        <is>
          <t>Résolue</t>
        </is>
      </c>
      <c r="J17" s="3" t="n">
        <v>46301</v>
      </c>
      <c r="K17" s="4">
        <f>J17-B17</f>
        <v/>
      </c>
    </row>
    <row r="18" ht="32" customHeight="1">
      <c r="A18" s="2" t="inlineStr">
        <is>
          <t>D-202</t>
        </is>
      </c>
      <c r="B18" s="3" t="n">
        <v>46300</v>
      </c>
      <c r="C18" s="2" t="inlineStr">
        <is>
          <t>Messenger</t>
        </is>
      </c>
      <c r="D18" s="2" t="inlineStr">
        <is>
          <t>Cliente de Thiès</t>
        </is>
      </c>
      <c r="E18" s="2" t="inlineStr">
        <is>
          <t>Information</t>
        </is>
      </c>
      <c r="F18" s="2" t="inlineStr">
        <is>
          <t>Prix de la livraison</t>
        </is>
      </c>
      <c r="G18" s="2" t="inlineStr">
        <is>
          <t>Basse</t>
        </is>
      </c>
      <c r="H18" s="2" t="inlineStr">
        <is>
          <t>Conseiller</t>
        </is>
      </c>
      <c r="I18" s="2" t="inlineStr">
        <is>
          <t>Résolue</t>
        </is>
      </c>
      <c r="J18" s="3" t="n">
        <v>46300</v>
      </c>
      <c r="K18" s="4">
        <f>J18-B18</f>
        <v/>
      </c>
    </row>
    <row r="20" ht="32" customHeight="1">
      <c r="A20" s="9" t="inlineStr">
        <is>
          <t>Dans cet exemple : la première demande, urgente, est réglée en 1 jour. La seconde est réglée le jour même : 0 jour.</t>
        </is>
      </c>
    </row>
    <row r="22">
      <c r="A22" s="10" t="inlineStr">
        <is>
          <t>Document du kit « Service clientèle » d'AI WORK KIT.</t>
        </is>
      </c>
    </row>
  </sheetData>
  <mergeCells count="17">
    <mergeCell ref="A6:K6"/>
    <mergeCell ref="A22:K22"/>
    <mergeCell ref="A12:K12"/>
    <mergeCell ref="A4:K4"/>
    <mergeCell ref="A3:K3"/>
    <mergeCell ref="A20:K20"/>
    <mergeCell ref="A15:K15"/>
    <mergeCell ref="A7:K7"/>
    <mergeCell ref="A2:K2"/>
    <mergeCell ref="A11:K11"/>
    <mergeCell ref="A10:K10"/>
    <mergeCell ref="A5:K5"/>
    <mergeCell ref="A13:K13"/>
    <mergeCell ref="A14:K14"/>
    <mergeCell ref="A1:K1"/>
    <mergeCell ref="A9:K9"/>
    <mergeCell ref="A8:K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2026-10-04T13:28:54Z</dcterms:created>
  <dcterms:modified xmlns:dcterms="http://purl.org/dc/terms/" xmlns:xsi="http://www.w3.org/2001/XMLSchema-instance" xsi:type="dcterms:W3CDTF">2026-10-04T13:28:55Z</dcterms:modified>
</cp:coreProperties>
</file>