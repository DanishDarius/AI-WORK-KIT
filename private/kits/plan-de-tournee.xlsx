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glages" sheetId="1" state="visible" r:id="rId1"/>
    <sheet xmlns:r="http://schemas.openxmlformats.org/officeDocument/2006/relationships" name="Tournée" sheetId="2" state="visible" r:id="rId2"/>
    <sheet xmlns:r="http://schemas.openxmlformats.org/officeDocument/2006/relationships" name="Résumé" sheetId="3" state="visible" r:id="rId3"/>
    <sheet xmlns:r="http://schemas.openxmlformats.org/officeDocument/2006/relationships" name="Mode d'empl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6">
    <font>
      <name val="Calibri"/>
      <family val="2"/>
      <color theme="1"/>
      <sz val="11"/>
      <scheme val="minor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FF4CC"/>
        <bgColor rgb="00FFF4CC"/>
      </patternFill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 wrapText="1"/>
    </xf>
    <xf numFmtId="164" fontId="2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vertical="top" wrapText="1"/>
    </xf>
    <xf numFmtId="165" fontId="2" fillId="2" borderId="1" applyAlignment="1" pivotButton="0" quotePrefix="0" xfId="0">
      <alignment horizontal="right" vertical="center"/>
    </xf>
    <xf numFmtId="49" fontId="2" fillId="2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165" fontId="5" fillId="4" borderId="1" applyAlignment="1" pivotButton="0" quotePrefix="0" xfId="0">
      <alignment vertical="center"/>
    </xf>
    <xf numFmtId="1" fontId="2" fillId="4" borderId="1" pivotButton="0" quotePrefix="0" xfId="0"/>
    <xf numFmtId="165" fontId="2" fillId="4" borderId="1" pivotButton="0" quotePrefix="0" xfId="0"/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0CB"/>
          <bgColor rgb="00F8D0CB"/>
        </patternFill>
      </fill>
    </dxf>
    <dxf>
      <fill>
        <patternFill patternType="solid">
          <fgColor rgb="00D5EDE4"/>
          <bgColor rgb="00D5EDE4"/>
        </patternFill>
      </fill>
    </dxf>
    <dxf>
      <fill>
        <patternFill patternType="solid">
          <fgColor rgb="00FBE3C4"/>
          <bgColor rgb="00FBE3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4" customWidth="1" min="3" max="3"/>
  </cols>
  <sheetData>
    <row r="1">
      <c r="A1" s="1" t="inlineStr">
        <is>
          <t>Les réglages de la tournée</t>
        </is>
      </c>
    </row>
    <row r="3" ht="32" customHeight="1">
      <c r="A3" s="2" t="inlineStr">
        <is>
          <t>Date de la tournée</t>
        </is>
      </c>
      <c r="B3" s="3" t="n"/>
      <c r="C3" s="4" t="inlineStr">
        <is>
          <t>Sous la forme 05/10/2026.</t>
        </is>
      </c>
    </row>
    <row r="4" ht="32" customHeight="1">
      <c r="A4" s="2" t="inlineStr">
        <is>
          <t>Heure de départ</t>
        </is>
      </c>
      <c r="B4" s="5" t="n"/>
      <c r="C4" s="4" t="inlineStr">
        <is>
          <t>Sous la forme 07:30.</t>
        </is>
      </c>
    </row>
    <row r="5" ht="32" customHeight="1">
      <c r="A5" s="2" t="inlineStr">
        <is>
          <t>Point de départ</t>
        </is>
      </c>
      <c r="B5" s="6" t="n"/>
      <c r="C5" s="4" t="inlineStr">
        <is>
          <t>Le dépôt, la boutique ou l'entrepôt.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6" customWidth="1" min="3" max="3"/>
    <col width="13" customWidth="1" min="4" max="4"/>
    <col width="11" customWidth="1" min="5" max="5"/>
    <col width="9" customWidth="1" min="6" max="6"/>
    <col width="9" customWidth="1" min="7" max="7"/>
    <col width="11" customWidth="1" min="8" max="8"/>
    <col width="8" customWidth="1" min="9" max="9"/>
    <col width="24" customWidth="1" min="10" max="10"/>
  </cols>
  <sheetData>
    <row r="1" ht="46" customHeight="1">
      <c r="A1" s="7" t="inlineStr">
        <is>
          <t>Ordre</t>
        </is>
      </c>
      <c r="B1" s="7" t="inlineStr">
        <is>
          <t>Arrêt</t>
        </is>
      </c>
      <c r="C1" s="7" t="inlineStr">
        <is>
          <t>À livrer ou à faire</t>
        </is>
      </c>
      <c r="D1" s="7" t="inlineStr">
        <is>
          <t>Trajet depuis le point précédent, en minutes</t>
        </is>
      </c>
      <c r="E1" s="7" t="inlineStr">
        <is>
          <t>Temps sur place, en minutes</t>
        </is>
      </c>
      <c r="F1" s="7" t="inlineStr">
        <is>
          <t>Arrivée</t>
        </is>
      </c>
      <c r="G1" s="7" t="inlineStr">
        <is>
          <t>Départ</t>
        </is>
      </c>
      <c r="H1" s="7" t="inlineStr">
        <is>
          <t>Heure limite du client</t>
        </is>
      </c>
      <c r="I1" s="7" t="inlineStr">
        <is>
          <t>Livré</t>
        </is>
      </c>
      <c r="J1" s="7" t="inlineStr">
        <is>
          <t>Remarque</t>
        </is>
      </c>
    </row>
    <row r="2">
      <c r="A2" s="8" t="n"/>
      <c r="B2" s="9" t="n"/>
      <c r="C2" s="9" t="n"/>
      <c r="D2" s="8" t="n"/>
      <c r="E2" s="8" t="n"/>
      <c r="F2" s="10">
        <f>IF(OR($D2="",'Réglages'!$B$4=""),"",'Réglages'!$B$4+$D2/1440)</f>
        <v/>
      </c>
      <c r="G2" s="10">
        <f>IF($F2="","",$F2+$E2/1440)</f>
        <v/>
      </c>
      <c r="H2" s="9" t="n"/>
      <c r="I2" s="9" t="n"/>
      <c r="J2" s="9" t="n"/>
    </row>
    <row r="3">
      <c r="A3" s="8" t="n"/>
      <c r="B3" s="9" t="n"/>
      <c r="C3" s="9" t="n"/>
      <c r="D3" s="8" t="n"/>
      <c r="E3" s="8" t="n"/>
      <c r="F3" s="10">
        <f>IF(OR($D3="",$G2=""),"",$G2+$D3/1440)</f>
        <v/>
      </c>
      <c r="G3" s="10">
        <f>IF($F3="","",$F3+$E3/1440)</f>
        <v/>
      </c>
      <c r="H3" s="9" t="n"/>
      <c r="I3" s="9" t="n"/>
      <c r="J3" s="9" t="n"/>
    </row>
    <row r="4">
      <c r="A4" s="8" t="n"/>
      <c r="B4" s="9" t="n"/>
      <c r="C4" s="9" t="n"/>
      <c r="D4" s="8" t="n"/>
      <c r="E4" s="8" t="n"/>
      <c r="F4" s="10">
        <f>IF(OR($D4="",$G3=""),"",$G3+$D4/1440)</f>
        <v/>
      </c>
      <c r="G4" s="10">
        <f>IF($F4="","",$F4+$E4/1440)</f>
        <v/>
      </c>
      <c r="H4" s="9" t="n"/>
      <c r="I4" s="9" t="n"/>
      <c r="J4" s="9" t="n"/>
    </row>
    <row r="5">
      <c r="A5" s="8" t="n"/>
      <c r="B5" s="9" t="n"/>
      <c r="C5" s="9" t="n"/>
      <c r="D5" s="8" t="n"/>
      <c r="E5" s="8" t="n"/>
      <c r="F5" s="10">
        <f>IF(OR($D5="",$G4=""),"",$G4+$D5/1440)</f>
        <v/>
      </c>
      <c r="G5" s="10">
        <f>IF($F5="","",$F5+$E5/1440)</f>
        <v/>
      </c>
      <c r="H5" s="9" t="n"/>
      <c r="I5" s="9" t="n"/>
      <c r="J5" s="9" t="n"/>
    </row>
    <row r="6">
      <c r="A6" s="8" t="n"/>
      <c r="B6" s="9" t="n"/>
      <c r="C6" s="9" t="n"/>
      <c r="D6" s="8" t="n"/>
      <c r="E6" s="8" t="n"/>
      <c r="F6" s="10">
        <f>IF(OR($D6="",$G5=""),"",$G5+$D6/1440)</f>
        <v/>
      </c>
      <c r="G6" s="10">
        <f>IF($F6="","",$F6+$E6/1440)</f>
        <v/>
      </c>
      <c r="H6" s="9" t="n"/>
      <c r="I6" s="9" t="n"/>
      <c r="J6" s="9" t="n"/>
    </row>
    <row r="7">
      <c r="A7" s="8" t="n"/>
      <c r="B7" s="9" t="n"/>
      <c r="C7" s="9" t="n"/>
      <c r="D7" s="8" t="n"/>
      <c r="E7" s="8" t="n"/>
      <c r="F7" s="10">
        <f>IF(OR($D7="",$G6=""),"",$G6+$D7/1440)</f>
        <v/>
      </c>
      <c r="G7" s="10">
        <f>IF($F7="","",$F7+$E7/1440)</f>
        <v/>
      </c>
      <c r="H7" s="9" t="n"/>
      <c r="I7" s="9" t="n"/>
      <c r="J7" s="9" t="n"/>
    </row>
    <row r="8">
      <c r="A8" s="8" t="n"/>
      <c r="B8" s="9" t="n"/>
      <c r="C8" s="9" t="n"/>
      <c r="D8" s="8" t="n"/>
      <c r="E8" s="8" t="n"/>
      <c r="F8" s="10">
        <f>IF(OR($D8="",$G7=""),"",$G7+$D8/1440)</f>
        <v/>
      </c>
      <c r="G8" s="10">
        <f>IF($F8="","",$F8+$E8/1440)</f>
        <v/>
      </c>
      <c r="H8" s="9" t="n"/>
      <c r="I8" s="9" t="n"/>
      <c r="J8" s="9" t="n"/>
    </row>
    <row r="9">
      <c r="A9" s="8" t="n"/>
      <c r="B9" s="9" t="n"/>
      <c r="C9" s="9" t="n"/>
      <c r="D9" s="8" t="n"/>
      <c r="E9" s="8" t="n"/>
      <c r="F9" s="10">
        <f>IF(OR($D9="",$G8=""),"",$G8+$D9/1440)</f>
        <v/>
      </c>
      <c r="G9" s="10">
        <f>IF($F9="","",$F9+$E9/1440)</f>
        <v/>
      </c>
      <c r="H9" s="9" t="n"/>
      <c r="I9" s="9" t="n"/>
      <c r="J9" s="9" t="n"/>
    </row>
    <row r="10">
      <c r="A10" s="8" t="n"/>
      <c r="B10" s="9" t="n"/>
      <c r="C10" s="9" t="n"/>
      <c r="D10" s="8" t="n"/>
      <c r="E10" s="8" t="n"/>
      <c r="F10" s="10">
        <f>IF(OR($D10="",$G9=""),"",$G9+$D10/1440)</f>
        <v/>
      </c>
      <c r="G10" s="10">
        <f>IF($F10="","",$F10+$E10/1440)</f>
        <v/>
      </c>
      <c r="H10" s="9" t="n"/>
      <c r="I10" s="9" t="n"/>
      <c r="J10" s="9" t="n"/>
    </row>
    <row r="11">
      <c r="A11" s="8" t="n"/>
      <c r="B11" s="9" t="n"/>
      <c r="C11" s="9" t="n"/>
      <c r="D11" s="8" t="n"/>
      <c r="E11" s="8" t="n"/>
      <c r="F11" s="10">
        <f>IF(OR($D11="",$G10=""),"",$G10+$D11/1440)</f>
        <v/>
      </c>
      <c r="G11" s="10">
        <f>IF($F11="","",$F11+$E11/1440)</f>
        <v/>
      </c>
      <c r="H11" s="9" t="n"/>
      <c r="I11" s="9" t="n"/>
      <c r="J11" s="9" t="n"/>
    </row>
    <row r="12">
      <c r="A12" s="8" t="n"/>
      <c r="B12" s="9" t="n"/>
      <c r="C12" s="9" t="n"/>
      <c r="D12" s="8" t="n"/>
      <c r="E12" s="8" t="n"/>
      <c r="F12" s="10">
        <f>IF(OR($D12="",$G11=""),"",$G11+$D12/1440)</f>
        <v/>
      </c>
      <c r="G12" s="10">
        <f>IF($F12="","",$F12+$E12/1440)</f>
        <v/>
      </c>
      <c r="H12" s="9" t="n"/>
      <c r="I12" s="9" t="n"/>
      <c r="J12" s="9" t="n"/>
    </row>
    <row r="13">
      <c r="A13" s="8" t="n"/>
      <c r="B13" s="9" t="n"/>
      <c r="C13" s="9" t="n"/>
      <c r="D13" s="8" t="n"/>
      <c r="E13" s="8" t="n"/>
      <c r="F13" s="10">
        <f>IF(OR($D13="",$G12=""),"",$G12+$D13/1440)</f>
        <v/>
      </c>
      <c r="G13" s="10">
        <f>IF($F13="","",$F13+$E13/1440)</f>
        <v/>
      </c>
      <c r="H13" s="9" t="n"/>
      <c r="I13" s="9" t="n"/>
      <c r="J13" s="9" t="n"/>
    </row>
    <row r="14">
      <c r="A14" s="8" t="n"/>
      <c r="B14" s="9" t="n"/>
      <c r="C14" s="9" t="n"/>
      <c r="D14" s="8" t="n"/>
      <c r="E14" s="8" t="n"/>
      <c r="F14" s="10">
        <f>IF(OR($D14="",$G13=""),"",$G13+$D14/1440)</f>
        <v/>
      </c>
      <c r="G14" s="10">
        <f>IF($F14="","",$F14+$E14/1440)</f>
        <v/>
      </c>
      <c r="H14" s="9" t="n"/>
      <c r="I14" s="9" t="n"/>
      <c r="J14" s="9" t="n"/>
    </row>
    <row r="15">
      <c r="A15" s="8" t="n"/>
      <c r="B15" s="9" t="n"/>
      <c r="C15" s="9" t="n"/>
      <c r="D15" s="8" t="n"/>
      <c r="E15" s="8" t="n"/>
      <c r="F15" s="10">
        <f>IF(OR($D15="",$G14=""),"",$G14+$D15/1440)</f>
        <v/>
      </c>
      <c r="G15" s="10">
        <f>IF($F15="","",$F15+$E15/1440)</f>
        <v/>
      </c>
      <c r="H15" s="9" t="n"/>
      <c r="I15" s="9" t="n"/>
      <c r="J15" s="9" t="n"/>
    </row>
    <row r="16">
      <c r="A16" s="8" t="n"/>
      <c r="B16" s="9" t="n"/>
      <c r="C16" s="9" t="n"/>
      <c r="D16" s="8" t="n"/>
      <c r="E16" s="8" t="n"/>
      <c r="F16" s="10">
        <f>IF(OR($D16="",$G15=""),"",$G15+$D16/1440)</f>
        <v/>
      </c>
      <c r="G16" s="10">
        <f>IF($F16="","",$F16+$E16/1440)</f>
        <v/>
      </c>
      <c r="H16" s="9" t="n"/>
      <c r="I16" s="9" t="n"/>
      <c r="J16" s="9" t="n"/>
    </row>
    <row r="17">
      <c r="A17" s="8" t="n"/>
      <c r="B17" s="9" t="n"/>
      <c r="C17" s="9" t="n"/>
      <c r="D17" s="8" t="n"/>
      <c r="E17" s="8" t="n"/>
      <c r="F17" s="10">
        <f>IF(OR($D17="",$G16=""),"",$G16+$D17/1440)</f>
        <v/>
      </c>
      <c r="G17" s="10">
        <f>IF($F17="","",$F17+$E17/1440)</f>
        <v/>
      </c>
      <c r="H17" s="9" t="n"/>
      <c r="I17" s="9" t="n"/>
      <c r="J17" s="9" t="n"/>
    </row>
    <row r="18">
      <c r="A18" s="8" t="n"/>
      <c r="B18" s="9" t="n"/>
      <c r="C18" s="9" t="n"/>
      <c r="D18" s="8" t="n"/>
      <c r="E18" s="8" t="n"/>
      <c r="F18" s="10">
        <f>IF(OR($D18="",$G17=""),"",$G17+$D18/1440)</f>
        <v/>
      </c>
      <c r="G18" s="10">
        <f>IF($F18="","",$F18+$E18/1440)</f>
        <v/>
      </c>
      <c r="H18" s="9" t="n"/>
      <c r="I18" s="9" t="n"/>
      <c r="J18" s="9" t="n"/>
    </row>
    <row r="19">
      <c r="A19" s="8" t="n"/>
      <c r="B19" s="9" t="n"/>
      <c r="C19" s="9" t="n"/>
      <c r="D19" s="8" t="n"/>
      <c r="E19" s="8" t="n"/>
      <c r="F19" s="10">
        <f>IF(OR($D19="",$G18=""),"",$G18+$D19/1440)</f>
        <v/>
      </c>
      <c r="G19" s="10">
        <f>IF($F19="","",$F19+$E19/1440)</f>
        <v/>
      </c>
      <c r="H19" s="9" t="n"/>
      <c r="I19" s="9" t="n"/>
      <c r="J19" s="9" t="n"/>
    </row>
    <row r="20">
      <c r="A20" s="8" t="n"/>
      <c r="B20" s="9" t="n"/>
      <c r="C20" s="9" t="n"/>
      <c r="D20" s="8" t="n"/>
      <c r="E20" s="8" t="n"/>
      <c r="F20" s="10">
        <f>IF(OR($D20="",$G19=""),"",$G19+$D20/1440)</f>
        <v/>
      </c>
      <c r="G20" s="10">
        <f>IF($F20="","",$F20+$E20/1440)</f>
        <v/>
      </c>
      <c r="H20" s="9" t="n"/>
      <c r="I20" s="9" t="n"/>
      <c r="J20" s="9" t="n"/>
    </row>
    <row r="21">
      <c r="A21" s="8" t="n"/>
      <c r="B21" s="9" t="n"/>
      <c r="C21" s="9" t="n"/>
      <c r="D21" s="8" t="n"/>
      <c r="E21" s="8" t="n"/>
      <c r="F21" s="10">
        <f>IF(OR($D21="",$G20=""),"",$G20+$D21/1440)</f>
        <v/>
      </c>
      <c r="G21" s="10">
        <f>IF($F21="","",$F21+$E21/1440)</f>
        <v/>
      </c>
      <c r="H21" s="9" t="n"/>
      <c r="I21" s="9" t="n"/>
      <c r="J21" s="9" t="n"/>
    </row>
    <row r="22">
      <c r="A22" s="8" t="n"/>
      <c r="B22" s="9" t="n"/>
      <c r="C22" s="9" t="n"/>
      <c r="D22" s="8" t="n"/>
      <c r="E22" s="8" t="n"/>
      <c r="F22" s="10">
        <f>IF(OR($D22="",$G21=""),"",$G21+$D22/1440)</f>
        <v/>
      </c>
      <c r="G22" s="10">
        <f>IF($F22="","",$F22+$E22/1440)</f>
        <v/>
      </c>
      <c r="H22" s="9" t="n"/>
      <c r="I22" s="9" t="n"/>
      <c r="J22" s="9" t="n"/>
    </row>
    <row r="23">
      <c r="A23" s="8" t="n"/>
      <c r="B23" s="9" t="n"/>
      <c r="C23" s="9" t="n"/>
      <c r="D23" s="8" t="n"/>
      <c r="E23" s="8" t="n"/>
      <c r="F23" s="10">
        <f>IF(OR($D23="",$G22=""),"",$G22+$D23/1440)</f>
        <v/>
      </c>
      <c r="G23" s="10">
        <f>IF($F23="","",$F23+$E23/1440)</f>
        <v/>
      </c>
      <c r="H23" s="9" t="n"/>
      <c r="I23" s="9" t="n"/>
      <c r="J23" s="9" t="n"/>
    </row>
    <row r="24">
      <c r="A24" s="8" t="n"/>
      <c r="B24" s="9" t="n"/>
      <c r="C24" s="9" t="n"/>
      <c r="D24" s="8" t="n"/>
      <c r="E24" s="8" t="n"/>
      <c r="F24" s="10">
        <f>IF(OR($D24="",$G23=""),"",$G23+$D24/1440)</f>
        <v/>
      </c>
      <c r="G24" s="10">
        <f>IF($F24="","",$F24+$E24/1440)</f>
        <v/>
      </c>
      <c r="H24" s="9" t="n"/>
      <c r="I24" s="9" t="n"/>
      <c r="J24" s="9" t="n"/>
    </row>
    <row r="25">
      <c r="A25" s="8" t="n"/>
      <c r="B25" s="9" t="n"/>
      <c r="C25" s="9" t="n"/>
      <c r="D25" s="8" t="n"/>
      <c r="E25" s="8" t="n"/>
      <c r="F25" s="10">
        <f>IF(OR($D25="",$G24=""),"",$G24+$D25/1440)</f>
        <v/>
      </c>
      <c r="G25" s="10">
        <f>IF($F25="","",$F25+$E25/1440)</f>
        <v/>
      </c>
      <c r="H25" s="9" t="n"/>
      <c r="I25" s="9" t="n"/>
      <c r="J25" s="9" t="n"/>
    </row>
    <row r="26">
      <c r="A26" s="8" t="n"/>
      <c r="B26" s="9" t="n"/>
      <c r="C26" s="9" t="n"/>
      <c r="D26" s="8" t="n"/>
      <c r="E26" s="8" t="n"/>
      <c r="F26" s="10">
        <f>IF(OR($D26="",$G25=""),"",$G25+$D26/1440)</f>
        <v/>
      </c>
      <c r="G26" s="10">
        <f>IF($F26="","",$F26+$E26/1440)</f>
        <v/>
      </c>
      <c r="H26" s="9" t="n"/>
      <c r="I26" s="9" t="n"/>
      <c r="J26" s="9" t="n"/>
    </row>
    <row r="27">
      <c r="A27" s="8" t="n"/>
      <c r="B27" s="9" t="n"/>
      <c r="C27" s="9" t="n"/>
      <c r="D27" s="8" t="n"/>
      <c r="E27" s="8" t="n"/>
      <c r="F27" s="10">
        <f>IF(OR($D27="",$G26=""),"",$G26+$D27/1440)</f>
        <v/>
      </c>
      <c r="G27" s="10">
        <f>IF($F27="","",$F27+$E27/1440)</f>
        <v/>
      </c>
      <c r="H27" s="9" t="n"/>
      <c r="I27" s="9" t="n"/>
      <c r="J27" s="9" t="n"/>
    </row>
    <row r="28">
      <c r="A28" s="8" t="n"/>
      <c r="B28" s="9" t="n"/>
      <c r="C28" s="9" t="n"/>
      <c r="D28" s="8" t="n"/>
      <c r="E28" s="8" t="n"/>
      <c r="F28" s="10">
        <f>IF(OR($D28="",$G27=""),"",$G27+$D28/1440)</f>
        <v/>
      </c>
      <c r="G28" s="10">
        <f>IF($F28="","",$F28+$E28/1440)</f>
        <v/>
      </c>
      <c r="H28" s="9" t="n"/>
      <c r="I28" s="9" t="n"/>
      <c r="J28" s="9" t="n"/>
    </row>
    <row r="29">
      <c r="A29" s="8" t="n"/>
      <c r="B29" s="9" t="n"/>
      <c r="C29" s="9" t="n"/>
      <c r="D29" s="8" t="n"/>
      <c r="E29" s="8" t="n"/>
      <c r="F29" s="10">
        <f>IF(OR($D29="",$G28=""),"",$G28+$D29/1440)</f>
        <v/>
      </c>
      <c r="G29" s="10">
        <f>IF($F29="","",$F29+$E29/1440)</f>
        <v/>
      </c>
      <c r="H29" s="9" t="n"/>
      <c r="I29" s="9" t="n"/>
      <c r="J29" s="9" t="n"/>
    </row>
    <row r="30">
      <c r="A30" s="8" t="n"/>
      <c r="B30" s="9" t="n"/>
      <c r="C30" s="9" t="n"/>
      <c r="D30" s="8" t="n"/>
      <c r="E30" s="8" t="n"/>
      <c r="F30" s="10">
        <f>IF(OR($D30="",$G29=""),"",$G29+$D30/1440)</f>
        <v/>
      </c>
      <c r="G30" s="10">
        <f>IF($F30="","",$F30+$E30/1440)</f>
        <v/>
      </c>
      <c r="H30" s="9" t="n"/>
      <c r="I30" s="9" t="n"/>
      <c r="J30" s="9" t="n"/>
    </row>
    <row r="31">
      <c r="A31" s="8" t="n"/>
      <c r="B31" s="9" t="n"/>
      <c r="C31" s="9" t="n"/>
      <c r="D31" s="8" t="n"/>
      <c r="E31" s="8" t="n"/>
      <c r="F31" s="10">
        <f>IF(OR($D31="",$G30=""),"",$G30+$D31/1440)</f>
        <v/>
      </c>
      <c r="G31" s="10">
        <f>IF($F31="","",$F31+$E31/1440)</f>
        <v/>
      </c>
      <c r="H31" s="9" t="n"/>
      <c r="I31" s="9" t="n"/>
      <c r="J31" s="9" t="n"/>
    </row>
    <row r="32">
      <c r="A32" s="8" t="n"/>
      <c r="B32" s="9" t="n"/>
      <c r="C32" s="9" t="n"/>
      <c r="D32" s="8" t="n"/>
      <c r="E32" s="8" t="n"/>
      <c r="F32" s="10">
        <f>IF(OR($D32="",$G31=""),"",$G31+$D32/1440)</f>
        <v/>
      </c>
      <c r="G32" s="10">
        <f>IF($F32="","",$F32+$E32/1440)</f>
        <v/>
      </c>
      <c r="H32" s="9" t="n"/>
      <c r="I32" s="9" t="n"/>
      <c r="J32" s="9" t="n"/>
    </row>
    <row r="33">
      <c r="A33" s="8" t="n"/>
      <c r="B33" s="9" t="n"/>
      <c r="C33" s="9" t="n"/>
      <c r="D33" s="8" t="n"/>
      <c r="E33" s="8" t="n"/>
      <c r="F33" s="10">
        <f>IF(OR($D33="",$G32=""),"",$G32+$D33/1440)</f>
        <v/>
      </c>
      <c r="G33" s="10">
        <f>IF($F33="","",$F33+$E33/1440)</f>
        <v/>
      </c>
      <c r="H33" s="9" t="n"/>
      <c r="I33" s="9" t="n"/>
      <c r="J33" s="9" t="n"/>
    </row>
    <row r="34">
      <c r="A34" s="8" t="n"/>
      <c r="B34" s="9" t="n"/>
      <c r="C34" s="9" t="n"/>
      <c r="D34" s="8" t="n"/>
      <c r="E34" s="8" t="n"/>
      <c r="F34" s="10">
        <f>IF(OR($D34="",$G33=""),"",$G33+$D34/1440)</f>
        <v/>
      </c>
      <c r="G34" s="10">
        <f>IF($F34="","",$F34+$E34/1440)</f>
        <v/>
      </c>
      <c r="H34" s="9" t="n"/>
      <c r="I34" s="9" t="n"/>
      <c r="J34" s="9" t="n"/>
    </row>
    <row r="35">
      <c r="A35" s="8" t="n"/>
      <c r="B35" s="9" t="n"/>
      <c r="C35" s="9" t="n"/>
      <c r="D35" s="8" t="n"/>
      <c r="E35" s="8" t="n"/>
      <c r="F35" s="10">
        <f>IF(OR($D35="",$G34=""),"",$G34+$D35/1440)</f>
        <v/>
      </c>
      <c r="G35" s="10">
        <f>IF($F35="","",$F35+$E35/1440)</f>
        <v/>
      </c>
      <c r="H35" s="9" t="n"/>
      <c r="I35" s="9" t="n"/>
      <c r="J35" s="9" t="n"/>
    </row>
    <row r="36">
      <c r="A36" s="8" t="n"/>
      <c r="B36" s="9" t="n"/>
      <c r="C36" s="9" t="n"/>
      <c r="D36" s="8" t="n"/>
      <c r="E36" s="8" t="n"/>
      <c r="F36" s="10">
        <f>IF(OR($D36="",$G35=""),"",$G35+$D36/1440)</f>
        <v/>
      </c>
      <c r="G36" s="10">
        <f>IF($F36="","",$F36+$E36/1440)</f>
        <v/>
      </c>
      <c r="H36" s="9" t="n"/>
      <c r="I36" s="9" t="n"/>
      <c r="J36" s="9" t="n"/>
    </row>
    <row r="37">
      <c r="A37" s="8" t="n"/>
      <c r="B37" s="9" t="n"/>
      <c r="C37" s="9" t="n"/>
      <c r="D37" s="8" t="n"/>
      <c r="E37" s="8" t="n"/>
      <c r="F37" s="10">
        <f>IF(OR($D37="",$G36=""),"",$G36+$D37/1440)</f>
        <v/>
      </c>
      <c r="G37" s="10">
        <f>IF($F37="","",$F37+$E37/1440)</f>
        <v/>
      </c>
      <c r="H37" s="9" t="n"/>
      <c r="I37" s="9" t="n"/>
      <c r="J37" s="9" t="n"/>
    </row>
    <row r="38">
      <c r="A38" s="8" t="n"/>
      <c r="B38" s="9" t="n"/>
      <c r="C38" s="9" t="n"/>
      <c r="D38" s="8" t="n"/>
      <c r="E38" s="8" t="n"/>
      <c r="F38" s="10">
        <f>IF(OR($D38="",$G37=""),"",$G37+$D38/1440)</f>
        <v/>
      </c>
      <c r="G38" s="10">
        <f>IF($F38="","",$F38+$E38/1440)</f>
        <v/>
      </c>
      <c r="H38" s="9" t="n"/>
      <c r="I38" s="9" t="n"/>
      <c r="J38" s="9" t="n"/>
    </row>
    <row r="39">
      <c r="A39" s="8" t="n"/>
      <c r="B39" s="9" t="n"/>
      <c r="C39" s="9" t="n"/>
      <c r="D39" s="8" t="n"/>
      <c r="E39" s="8" t="n"/>
      <c r="F39" s="10">
        <f>IF(OR($D39="",$G38=""),"",$G38+$D39/1440)</f>
        <v/>
      </c>
      <c r="G39" s="10">
        <f>IF($F39="","",$F39+$E39/1440)</f>
        <v/>
      </c>
      <c r="H39" s="9" t="n"/>
      <c r="I39" s="9" t="n"/>
      <c r="J39" s="9" t="n"/>
    </row>
    <row r="40">
      <c r="A40" s="8" t="n"/>
      <c r="B40" s="9" t="n"/>
      <c r="C40" s="9" t="n"/>
      <c r="D40" s="8" t="n"/>
      <c r="E40" s="8" t="n"/>
      <c r="F40" s="10">
        <f>IF(OR($D40="",$G39=""),"",$G39+$D40/1440)</f>
        <v/>
      </c>
      <c r="G40" s="10">
        <f>IF($F40="","",$F40+$E40/1440)</f>
        <v/>
      </c>
      <c r="H40" s="9" t="n"/>
      <c r="I40" s="9" t="n"/>
      <c r="J40" s="9" t="n"/>
    </row>
    <row r="41">
      <c r="A41" s="8" t="n"/>
      <c r="B41" s="9" t="n"/>
      <c r="C41" s="9" t="n"/>
      <c r="D41" s="8" t="n"/>
      <c r="E41" s="8" t="n"/>
      <c r="F41" s="10">
        <f>IF(OR($D41="",$G40=""),"",$G40+$D41/1440)</f>
        <v/>
      </c>
      <c r="G41" s="10">
        <f>IF($F41="","",$F41+$E41/1440)</f>
        <v/>
      </c>
      <c r="H41" s="9" t="n"/>
      <c r="I41" s="9" t="n"/>
      <c r="J41" s="9" t="n"/>
    </row>
  </sheetData>
  <conditionalFormatting sqref="A2:A41">
    <cfRule type="expression" priority="1" dxfId="0">
      <formula>AND($A2&lt;&gt;"",NOT(ISNUMBER($A2)))</formula>
    </cfRule>
  </conditionalFormatting>
  <conditionalFormatting sqref="D2:D41">
    <cfRule type="expression" priority="2" dxfId="0">
      <formula>AND($D2&lt;&gt;"",NOT(ISNUMBER($D2)))</formula>
    </cfRule>
  </conditionalFormatting>
  <conditionalFormatting sqref="E2:E41">
    <cfRule type="expression" priority="3" dxfId="0">
      <formula>AND($E2&lt;&gt;"",NOT(ISNUMBER($E2)))</formula>
    </cfRule>
  </conditionalFormatting>
  <conditionalFormatting sqref="I2:I41">
    <cfRule type="cellIs" priority="4" operator="equal" dxfId="1">
      <formula>"Oui"</formula>
    </cfRule>
    <cfRule type="cellIs" priority="5" operator="equal" dxfId="2">
      <formula>"Non"</formula>
    </cfRule>
  </conditionalFormatting>
  <dataValidations count="1">
    <dataValidation sqref="I2:I41" showDropDown="0" showInputMessage="0" showErrorMessage="0" allowBlank="1" errorTitle="Livré" error="Choisissez dans la liste : Oui, Non." type="list">
      <formula1>"Oui,Non"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1" t="inlineStr">
        <is>
          <t>La tournée en un coup d'œil</t>
        </is>
      </c>
    </row>
    <row r="3">
      <c r="A3" s="9" t="inlineStr">
        <is>
          <t>Nombre d'arrêts</t>
        </is>
      </c>
      <c r="B3" s="11">
        <f>COUNT(Tournée!$D$2:$D$41)</f>
        <v/>
      </c>
    </row>
    <row r="4">
      <c r="A4" s="9" t="inlineStr">
        <is>
          <t>Temps de route, en minutes</t>
        </is>
      </c>
      <c r="B4" s="11">
        <f>SUM(Tournée!$D$2:$D$41)</f>
        <v/>
      </c>
    </row>
    <row r="5">
      <c r="A5" s="9" t="inlineStr">
        <is>
          <t>Temps sur place, en minutes</t>
        </is>
      </c>
      <c r="B5" s="11">
        <f>SUM(Tournée!$E$2:$E$41)</f>
        <v/>
      </c>
    </row>
    <row r="6">
      <c r="A6" s="9" t="inlineStr">
        <is>
          <t>Durée de la tournée, en minutes</t>
        </is>
      </c>
      <c r="B6" s="11">
        <f>SUM(Tournée!$D$2:$D$41)+SUM(Tournée!$E$2:$E$41)</f>
        <v/>
      </c>
    </row>
    <row r="7">
      <c r="A7" s="9" t="inlineStr">
        <is>
          <t>Heure de fin au dernier arrêt</t>
        </is>
      </c>
      <c r="B7" s="12">
        <f>IF(COUNT(Tournée!$G$2:$G$41)=0,"",MAX(Tournée!$G$2:$G$41))</f>
        <v/>
      </c>
    </row>
    <row r="8">
      <c r="A8" s="9" t="inlineStr">
        <is>
          <t>Arrêts livrés</t>
        </is>
      </c>
      <c r="B8" s="11">
        <f>COUNTIF(Tournée!$I$2:$I$41,"Oui")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6" customWidth="1" min="3" max="3"/>
    <col width="13" customWidth="1" min="4" max="4"/>
    <col width="11" customWidth="1" min="5" max="5"/>
    <col width="9" customWidth="1" min="6" max="6"/>
    <col width="9" customWidth="1" min="7" max="7"/>
    <col width="11" customWidth="1" min="8" max="8"/>
    <col width="8" customWidth="1" min="9" max="9"/>
    <col width="24" customWidth="1" min="10" max="10"/>
  </cols>
  <sheetData>
    <row r="1" ht="16" customHeight="1">
      <c r="A1" s="1" t="inlineStr">
        <is>
          <t>Plan de tournée : mode d'emploi</t>
        </is>
      </c>
    </row>
    <row r="2" ht="16" customHeight="1"/>
    <row r="3" ht="16" customHeight="1">
      <c r="A3" s="13" t="inlineStr">
        <is>
          <t>COMMENT REMPLIR :</t>
        </is>
      </c>
    </row>
    <row r="4" ht="16" customHeight="1">
      <c r="A4" s="14" t="inlineStr">
        <is>
          <t>1. Onglet Réglages : écrivez la date et l'heure de départ, sous la forme 07:30.</t>
        </is>
      </c>
    </row>
    <row r="5" ht="16" customHeight="1">
      <c r="A5" s="14" t="inlineStr">
        <is>
          <t>2. Onglet Tournée : une ligne par arrêt, dans l'ordre de passage, sans laisser de ligne vide entre deux arrêts.</t>
        </is>
      </c>
    </row>
    <row r="6" ht="16" customHeight="1">
      <c r="A6" s="14" t="inlineStr">
        <is>
          <t>3. Écrivez le temps de trajet depuis le point précédent et le temps sur place, en minutes, en chiffres seulement.</t>
        </is>
      </c>
    </row>
    <row r="7" ht="32" customHeight="1">
      <c r="A7" s="14" t="inlineStr">
        <is>
          <t>4. Les cases grises « Arrivée » et « Départ » se calculent seules : n'y touchez pas. Comparez l'heure d'arrivée à l'heure limite du client.</t>
        </is>
      </c>
    </row>
    <row r="8" ht="16" customHeight="1">
      <c r="A8" s="14" t="inlineStr">
        <is>
          <t>5. Pendant la tournée, mettez « Oui » dans Livré à chaque arrêt fait.</t>
        </is>
      </c>
    </row>
    <row r="9" ht="16" customHeight="1">
      <c r="A9" s="14" t="inlineStr"/>
    </row>
    <row r="10" ht="16" customHeight="1">
      <c r="A10" s="13" t="inlineStr">
        <is>
          <t>POUR CHANGER L'ORDRE :</t>
        </is>
      </c>
    </row>
    <row r="11" ht="32" customHeight="1">
      <c r="A11" s="14" t="inlineStr">
        <is>
          <t>Réécrivez les arrêts dans le nouvel ordre : les heures se recalculent. Le trajet d'un arrêt change quand le point précédent change.</t>
        </is>
      </c>
    </row>
    <row r="12" ht="16" customHeight="1">
      <c r="A12" s="14" t="inlineStr"/>
    </row>
    <row r="13" ht="16" customHeight="1">
      <c r="A13" s="13" t="inlineStr">
        <is>
          <t>À SAVOIR :</t>
        </is>
      </c>
    </row>
    <row r="14" ht="32" customHeight="1">
      <c r="A14" s="14" t="inlineStr">
        <is>
          <t>Les temps de trajet sont les vôtres : le tableau ne connaît ni les distances ni les embouteillages. Gardez une marge. Écrivez le quartier ou le nom du commerce, pas l'adresse précise ni le numéro d'une personne.</t>
        </is>
      </c>
    </row>
    <row r="15" ht="16" customHeight="1">
      <c r="A15" s="14" t="inlineStr"/>
    </row>
    <row r="16" ht="16" customHeight="1">
      <c r="A16" s="13" t="inlineStr">
        <is>
          <t>EXEMPLE, pour un départ à 07:30 (ne modifiez pas cet exemple, il sert seulement de modèle) :</t>
        </is>
      </c>
    </row>
    <row r="17" ht="46" customHeight="1">
      <c r="A17" s="7" t="inlineStr">
        <is>
          <t>Ordre</t>
        </is>
      </c>
      <c r="B17" s="7" t="inlineStr">
        <is>
          <t>Arrêt</t>
        </is>
      </c>
      <c r="C17" s="7" t="inlineStr">
        <is>
          <t>À livrer ou à faire</t>
        </is>
      </c>
      <c r="D17" s="7" t="inlineStr">
        <is>
          <t>Trajet depuis le point précédent, en minutes</t>
        </is>
      </c>
      <c r="E17" s="7" t="inlineStr">
        <is>
          <t>Temps sur place, en minutes</t>
        </is>
      </c>
      <c r="F17" s="7" t="inlineStr">
        <is>
          <t>Arrivée</t>
        </is>
      </c>
      <c r="G17" s="7" t="inlineStr">
        <is>
          <t>Départ</t>
        </is>
      </c>
      <c r="H17" s="7" t="inlineStr">
        <is>
          <t>Heure limite du client</t>
        </is>
      </c>
      <c r="I17" s="7" t="inlineStr">
        <is>
          <t>Livré</t>
        </is>
      </c>
      <c r="J17" s="7" t="inlineStr">
        <is>
          <t>Remarque</t>
        </is>
      </c>
    </row>
    <row r="18" ht="32" customHeight="1">
      <c r="A18" s="8" t="n">
        <v>1</v>
      </c>
      <c r="B18" s="9" t="inlineStr">
        <is>
          <t>Akpakpa</t>
        </is>
      </c>
      <c r="C18" s="9" t="inlineStr">
        <is>
          <t>2 colis</t>
        </is>
      </c>
      <c r="D18" s="8" t="n">
        <v>20</v>
      </c>
      <c r="E18" s="8" t="n">
        <v>10</v>
      </c>
      <c r="F18" s="10" t="n">
        <v>0.3263888888888889</v>
      </c>
      <c r="G18" s="10" t="n">
        <v>0.3333333333333333</v>
      </c>
      <c r="H18" s="9" t="inlineStr"/>
      <c r="I18" s="9" t="inlineStr">
        <is>
          <t>Oui</t>
        </is>
      </c>
      <c r="J18" s="9" t="inlineStr"/>
    </row>
    <row r="19" ht="32" customHeight="1">
      <c r="A19" s="8" t="n">
        <v>2</v>
      </c>
      <c r="B19" s="9" t="inlineStr">
        <is>
          <t>Cadjèhoun</t>
        </is>
      </c>
      <c r="C19" s="9" t="inlineStr">
        <is>
          <t>1 colis, paiement à la livraison</t>
        </is>
      </c>
      <c r="D19" s="8" t="n">
        <v>25</v>
      </c>
      <c r="E19" s="8" t="n">
        <v>15</v>
      </c>
      <c r="F19" s="10" t="n">
        <v>0.3506944444444444</v>
      </c>
      <c r="G19" s="10" t="n">
        <v>0.3611111111111111</v>
      </c>
      <c r="H19" s="9" t="inlineStr">
        <is>
          <t>09:00</t>
        </is>
      </c>
      <c r="I19" s="9" t="inlineStr">
        <is>
          <t>Non</t>
        </is>
      </c>
      <c r="J19" s="9" t="inlineStr"/>
    </row>
    <row r="21" ht="32" customHeight="1">
      <c r="A21" s="14" t="inlineStr">
        <is>
          <t>Dans cet exemple : départ à 07:30, 20 minutes de trajet, arrivée à 07:50. Après 10 minutes sur place, départ à 08:00, puis 25 minutes de trajet : arrivée à 08:25.</t>
        </is>
      </c>
    </row>
    <row r="23">
      <c r="A23" s="15" t="inlineStr">
        <is>
          <t>Document du kit « Logistique / Supply Chain » d'AI WORK KIT.</t>
        </is>
      </c>
    </row>
  </sheetData>
  <mergeCells count="18">
    <mergeCell ref="A1:J1"/>
    <mergeCell ref="A23:J23"/>
    <mergeCell ref="A5:J5"/>
    <mergeCell ref="A8:J8"/>
    <mergeCell ref="A14:J14"/>
    <mergeCell ref="A6:J6"/>
    <mergeCell ref="A16:J16"/>
    <mergeCell ref="A9:J9"/>
    <mergeCell ref="A3:J3"/>
    <mergeCell ref="A21:J21"/>
    <mergeCell ref="A12:J12"/>
    <mergeCell ref="A4:J4"/>
    <mergeCell ref="A7:J7"/>
    <mergeCell ref="A15:J15"/>
    <mergeCell ref="A2:J2"/>
    <mergeCell ref="A10:J10"/>
    <mergeCell ref="A13:J13"/>
    <mergeCell ref="A11:J1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2026-10-04T13:07:30Z</dcterms:created>
  <dcterms:modified xmlns:dcterms="http://purl.org/dc/terms/" xmlns:xsi="http://www.w3.org/2001/XMLSchema-instance" xsi:type="dcterms:W3CDTF">2026-10-04T13:07:30Z</dcterms:modified>
</cp:coreProperties>
</file>