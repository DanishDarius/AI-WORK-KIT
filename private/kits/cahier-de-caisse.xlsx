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hier" sheetId="1" state="visible" r:id="rId3"/>
    <sheet name="Mois" sheetId="2" state="visible" r:id="rId4"/>
    <sheet name="Mode d'emploi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<sst xmlns="http://schemas.openxmlformats.org/spreadsheetml/2006/main" count="91" uniqueCount="64">
  <si>
    <t xml:space="preserve">Date</t>
  </si>
  <si>
    <t xml:space="preserve">Libellé</t>
  </si>
  <si>
    <t xml:space="preserve">Catégorie</t>
  </si>
  <si>
    <t xml:space="preserve">Entrée</t>
  </si>
  <si>
    <t xml:space="preserve">Sortie</t>
  </si>
  <si>
    <t xml:space="preserve">Moyen</t>
  </si>
  <si>
    <t xml:space="preserve">Solde espèces</t>
  </si>
  <si>
    <t xml:space="preserve">Solde Mobile Money</t>
  </si>
  <si>
    <t xml:space="preserve">Solde de départ</t>
  </si>
  <si>
    <t xml:space="preserve">Le mois en chiffres</t>
  </si>
  <si>
    <t xml:space="preserve">Mois à regarder</t>
  </si>
  <si>
    <t xml:space="preserve">Écrivez le 1er jour du mois, par exemple 01/10/2026. Laissez vide pour voir tout le cahier.</t>
  </si>
  <si>
    <t xml:space="preserve">Total des entrées</t>
  </si>
  <si>
    <t xml:space="preserve">Hors dépôts et retraits de Mobile Money : ce sont des déplacements d'argent, pas des ventes ni des dépenses.</t>
  </si>
  <si>
    <t xml:space="preserve">Total des sorties</t>
  </si>
  <si>
    <t xml:space="preserve">Résultat</t>
  </si>
  <si>
    <t xml:space="preserve">Entrées</t>
  </si>
  <si>
    <t xml:space="preserve">Sorties</t>
  </si>
  <si>
    <t xml:space="preserve">Vente</t>
  </si>
  <si>
    <t xml:space="preserve">Avance reçue</t>
  </si>
  <si>
    <t xml:space="preserve">Achat de marchandise</t>
  </si>
  <si>
    <t xml:space="preserve">Transport et livraison</t>
  </si>
  <si>
    <t xml:space="preserve">Loyer</t>
  </si>
  <si>
    <t xml:space="preserve">Connexion et crédit téléphonique</t>
  </si>
  <si>
    <t xml:space="preserve">Salaire</t>
  </si>
  <si>
    <t xml:space="preserve">Pris pour la maison</t>
  </si>
  <si>
    <t xml:space="preserve">Dépôt ou retrait de Mobile Money</t>
  </si>
  <si>
    <t xml:space="preserve">Écart de caisse</t>
  </si>
  <si>
    <t xml:space="preserve">Autre</t>
  </si>
  <si>
    <t xml:space="preserve">Sans catégorie</t>
  </si>
  <si>
    <t xml:space="preserve">Si cette ligne n'est pas à zéro, une opération du cahier n'a pas de catégorie.</t>
  </si>
  <si>
    <t xml:space="preserve">Entrées par moyen de paiement</t>
  </si>
  <si>
    <t xml:space="preserve">Part</t>
  </si>
  <si>
    <t xml:space="preserve">Espèces</t>
  </si>
  <si>
    <t xml:space="preserve">Mobile Money</t>
  </si>
  <si>
    <t xml:space="preserve">Moyen non précisé</t>
  </si>
  <si>
    <t xml:space="preserve">Cahier de caisse : mode d'emploi</t>
  </si>
  <si>
    <t xml:space="preserve">COMMENT REMPLIR :</t>
  </si>
  <si>
    <t xml:space="preserve">1. Écrivez seulement dans les cases blanches et dans les cases jaunes. Les cases grises se calculent seules : n'y touchez pas.</t>
  </si>
  <si>
    <t xml:space="preserve">2. Onglet Cahier, ligne 2 : écrivez l'argent que vous avez au départ. Dans la case jaune « Solde espèces », l'argent de la caisse. Dans la case jaune « Solde Mobile Money », l'argent de votre compte.</t>
  </si>
  <si>
    <t xml:space="preserve">3. Ensuite, une opération par ligne. Entrée : l'argent reçu. Sortie : l'argent dépensé. Écrivez le montant en chiffres, sans le mot FCFA.</t>
  </si>
  <si>
    <t xml:space="preserve">4. Choisissez toujours la catégorie et le moyen dans les listes. Si le moyen manque, la case devient rouge et les soldes ne bougent pas.</t>
  </si>
  <si>
    <t xml:space="preserve">5. Si vous collez des lignes préparées par votre IA et qu'une date ou un montant devient rouge, retapez cette case : un montant en chiffres seulement (43000), une date sous la forme 05/10/2026.</t>
  </si>
  <si>
    <t xml:space="preserve">6. Les deux soldes se mettent à jour à chaque ligne : ce qu'il doit y avoir dans la caisse, et ce qu'il doit y avoir sur le compte Mobile Money.</t>
  </si>
  <si>
    <t xml:space="preserve">CAS PARTICULIERS :</t>
  </si>
  <si>
    <t xml:space="preserve">Une avance reçue d'un client : une entrée, catégorie « Avance reçue ».</t>
  </si>
  <si>
    <t xml:space="preserve">De l'argent pris dans la caisse pour la maison : une sortie, catégorie « Pris pour la maison ».</t>
  </si>
  <si>
    <t xml:space="preserve">Un dépôt sur votre compte Mobile Money : deux lignes du même montant, catégorie « Dépôt ou retrait de Mobile Money ». Une sortie en Espèces, puis une entrée en Mobile Money. Pour un retrait, c'est l'inverse.</t>
  </si>
  <si>
    <t xml:space="preserve">Les frais d'un retrait : une sortie en Mobile Money, catégorie « Autre ».</t>
  </si>
  <si>
    <t xml:space="preserve">Plusieurs comptes Mobile Money : additionnez leurs soldes dans la case de départ, et choisissez « Mobile Money » pour chacun.</t>
  </si>
  <si>
    <t xml:space="preserve">LE CONTRÔLE DU SOIR :</t>
  </si>
  <si>
    <t xml:space="preserve">Comptez les espèces et comparez au dernier « Solde espèces ». Ouvrez l'application de votre opérateur et comparez au dernier « Solde Mobile Money ».</t>
  </si>
  <si>
    <t xml:space="preserve">S'il y a un écart, ajoutez une ligne « Écart de caisse » : en sortie s'il manque de l'argent, en entrée s'il y en a trop.</t>
  </si>
  <si>
    <t xml:space="preserve">L'ONGLET MOIS :</t>
  </si>
  <si>
    <t xml:space="preserve">Il additionne seul les entrées, les sorties, le résultat et le total de chaque catégorie. Écrivez le 1er jour du mois dans la case jaune pour voir un seul mois.</t>
  </si>
  <si>
    <t xml:space="preserve">EXEMPLE (ne modifiez pas cet exemple, il sert seulement de modèle) :</t>
  </si>
  <si>
    <t xml:space="preserve">Vente 2 pagnes</t>
  </si>
  <si>
    <t xml:space="preserve">Vente 1 pagne</t>
  </si>
  <si>
    <t xml:space="preserve">Avance sur un pagne</t>
  </si>
  <si>
    <t xml:space="preserve">Taxi</t>
  </si>
  <si>
    <t xml:space="preserve">Livraison à moto</t>
  </si>
  <si>
    <t xml:space="preserve">Forfait internet</t>
  </si>
  <si>
    <t xml:space="preserve">À la fin de cette journée, il doit y avoir 49 700 FCFA dans la caisse et 64 000 FCFA sur le compte Mobile Money.</t>
  </si>
  <si>
    <t xml:space="preserve">Document du kit « Commerce et vente en ligne » d'AI WORK KIT.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</si>
</sst>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yy"/>
    <numFmt numFmtId="166" formatCode="#,##0"/>
    <numFmt numFmtId="167" formatCode="0.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4"/>
      <color rgb="FF0B6B5E"/>
      <name val="Arial"/>
      <family val="0"/>
      <charset val="1"/>
    </font>
    <font>
      <i val="true"/>
      <sz val="11"/>
      <color rgb="FF555555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B6B5E"/>
        <bgColor rgb="FF008080"/>
      </patternFill>
    </fill>
    <fill>
      <patternFill patternType="solid">
        <fgColor rgb="FFFFF4CC"/>
        <bgColor rgb="FFECEFEE"/>
      </patternFill>
    </fill>
    <fill>
      <patternFill patternType="solid">
        <fgColor rgb="FFECEFEE"/>
        <bgColor rgb="FFFFF4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CFCD"/>
      </left>
      <right style="thin">
        <color rgb="FFC9CFCD"/>
      </right>
      <top style="thin">
        <color rgb="FFC9CFCD"/>
      </top>
      <bottom style="thin">
        <color rgb="FFC9CFC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6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5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F8D0CB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B6B5E"/>
      <rgbColor rgb="FFC9CFCD"/>
      <rgbColor rgb="FF808080"/>
      <rgbColor rgb="FF9999FF"/>
      <rgbColor rgb="FF993366"/>
      <rgbColor rgb="FFFFF4CC"/>
      <rgbColor rgb="FFECEFE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D0CB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50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0"/>
    <col collapsed="false" customWidth="true" hidden="false" outlineLevel="0" max="3" min="3" style="0" width="26"/>
    <col collapsed="false" customWidth="true" hidden="false" outlineLevel="0" max="5" min="4" style="0" width="13"/>
    <col collapsed="false" customWidth="true" hidden="false" outlineLevel="0" max="8" min="6" style="0" width="16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2"/>
      <c r="B2" s="3" t="s">
        <v>8</v>
      </c>
      <c r="C2" s="4"/>
      <c r="D2" s="5"/>
      <c r="E2" s="5"/>
      <c r="F2" s="4"/>
      <c r="G2" s="6" t="n">
        <v>0</v>
      </c>
      <c r="H2" s="6" t="n">
        <v>0</v>
      </c>
    </row>
    <row r="3" customFormat="false" ht="15" hidden="false" customHeight="false" outlineLevel="0" collapsed="false">
      <c r="A3" s="2"/>
      <c r="B3" s="4"/>
      <c r="C3" s="4"/>
      <c r="D3" s="5"/>
      <c r="E3" s="5"/>
      <c r="F3" s="4"/>
      <c r="G3" s="7" t="str">
        <f aca="false">IF(AND($D3="",$E3=""),"",$G$2+SUMIF($F$3:$F3,"Espèces",$D$3:$D3)-SUMIF($F$3:$F3,"Espèces",$E$3:$E3))</f>
        <v/>
      </c>
      <c r="H3" s="7" t="str">
        <f aca="false">IF(AND($D3="",$E3=""),"",$H$2+SUMIF($F$3:$F3,"Mobile Money",$D$3:$D3)-SUMIF($F$3:$F3,"Mobile Money",$E$3:$E3))</f>
        <v/>
      </c>
    </row>
    <row r="4" customFormat="false" ht="15" hidden="false" customHeight="false" outlineLevel="0" collapsed="false">
      <c r="A4" s="2"/>
      <c r="B4" s="4"/>
      <c r="C4" s="4"/>
      <c r="D4" s="5"/>
      <c r="E4" s="5"/>
      <c r="F4" s="4"/>
      <c r="G4" s="7" t="str">
        <f aca="false">IF(AND($D4="",$E4=""),"",$G$2+SUMIF($F$3:$F4,"Espèces",$D$3:$D4)-SUMIF($F$3:$F4,"Espèces",$E$3:$E4))</f>
        <v/>
      </c>
      <c r="H4" s="7" t="str">
        <f aca="false">IF(AND($D4="",$E4=""),"",$H$2+SUMIF($F$3:$F4,"Mobile Money",$D$3:$D4)-SUMIF($F$3:$F4,"Mobile Money",$E$3:$E4))</f>
        <v/>
      </c>
    </row>
    <row r="5" customFormat="false" ht="15" hidden="false" customHeight="false" outlineLevel="0" collapsed="false">
      <c r="A5" s="2"/>
      <c r="B5" s="4"/>
      <c r="C5" s="4"/>
      <c r="D5" s="5"/>
      <c r="E5" s="5"/>
      <c r="F5" s="4"/>
      <c r="G5" s="7" t="str">
        <f aca="false">IF(AND($D5="",$E5=""),"",$G$2+SUMIF($F$3:$F5,"Espèces",$D$3:$D5)-SUMIF($F$3:$F5,"Espèces",$E$3:$E5))</f>
        <v/>
      </c>
      <c r="H5" s="7" t="str">
        <f aca="false">IF(AND($D5="",$E5=""),"",$H$2+SUMIF($F$3:$F5,"Mobile Money",$D$3:$D5)-SUMIF($F$3:$F5,"Mobile Money",$E$3:$E5))</f>
        <v/>
      </c>
    </row>
    <row r="6" customFormat="false" ht="15" hidden="false" customHeight="false" outlineLevel="0" collapsed="false">
      <c r="A6" s="2"/>
      <c r="B6" s="4"/>
      <c r="C6" s="4"/>
      <c r="D6" s="5"/>
      <c r="E6" s="5"/>
      <c r="F6" s="4"/>
      <c r="G6" s="7" t="str">
        <f aca="false">IF(AND($D6="",$E6=""),"",$G$2+SUMIF($F$3:$F6,"Espèces",$D$3:$D6)-SUMIF($F$3:$F6,"Espèces",$E$3:$E6))</f>
        <v/>
      </c>
      <c r="H6" s="7" t="str">
        <f aca="false">IF(AND($D6="",$E6=""),"",$H$2+SUMIF($F$3:$F6,"Mobile Money",$D$3:$D6)-SUMIF($F$3:$F6,"Mobile Money",$E$3:$E6))</f>
        <v/>
      </c>
    </row>
    <row r="7" customFormat="false" ht="15" hidden="false" customHeight="false" outlineLevel="0" collapsed="false">
      <c r="A7" s="2"/>
      <c r="B7" s="4"/>
      <c r="C7" s="4"/>
      <c r="D7" s="5"/>
      <c r="E7" s="5"/>
      <c r="F7" s="4"/>
      <c r="G7" s="7" t="str">
        <f aca="false">IF(AND($D7="",$E7=""),"",$G$2+SUMIF($F$3:$F7,"Espèces",$D$3:$D7)-SUMIF($F$3:$F7,"Espèces",$E$3:$E7))</f>
        <v/>
      </c>
      <c r="H7" s="7" t="str">
        <f aca="false">IF(AND($D7="",$E7=""),"",$H$2+SUMIF($F$3:$F7,"Mobile Money",$D$3:$D7)-SUMIF($F$3:$F7,"Mobile Money",$E$3:$E7))</f>
        <v/>
      </c>
    </row>
    <row r="8" customFormat="false" ht="15" hidden="false" customHeight="false" outlineLevel="0" collapsed="false">
      <c r="A8" s="2"/>
      <c r="B8" s="4"/>
      <c r="C8" s="4"/>
      <c r="D8" s="5"/>
      <c r="E8" s="5"/>
      <c r="F8" s="4"/>
      <c r="G8" s="7" t="str">
        <f aca="false">IF(AND($D8="",$E8=""),"",$G$2+SUMIF($F$3:$F8,"Espèces",$D$3:$D8)-SUMIF($F$3:$F8,"Espèces",$E$3:$E8))</f>
        <v/>
      </c>
      <c r="H8" s="7" t="str">
        <f aca="false">IF(AND($D8="",$E8=""),"",$H$2+SUMIF($F$3:$F8,"Mobile Money",$D$3:$D8)-SUMIF($F$3:$F8,"Mobile Money",$E$3:$E8))</f>
        <v/>
      </c>
    </row>
    <row r="9" customFormat="false" ht="15" hidden="false" customHeight="false" outlineLevel="0" collapsed="false">
      <c r="A9" s="2"/>
      <c r="B9" s="4"/>
      <c r="C9" s="4"/>
      <c r="D9" s="5"/>
      <c r="E9" s="5"/>
      <c r="F9" s="4"/>
      <c r="G9" s="7" t="str">
        <f aca="false">IF(AND($D9="",$E9=""),"",$G$2+SUMIF($F$3:$F9,"Espèces",$D$3:$D9)-SUMIF($F$3:$F9,"Espèces",$E$3:$E9))</f>
        <v/>
      </c>
      <c r="H9" s="7" t="str">
        <f aca="false">IF(AND($D9="",$E9=""),"",$H$2+SUMIF($F$3:$F9,"Mobile Money",$D$3:$D9)-SUMIF($F$3:$F9,"Mobile Money",$E$3:$E9))</f>
        <v/>
      </c>
    </row>
    <row r="10" customFormat="false" ht="15" hidden="false" customHeight="false" outlineLevel="0" collapsed="false">
      <c r="A10" s="2"/>
      <c r="B10" s="4"/>
      <c r="C10" s="4"/>
      <c r="D10" s="5"/>
      <c r="E10" s="5"/>
      <c r="F10" s="4"/>
      <c r="G10" s="7" t="str">
        <f aca="false">IF(AND($D10="",$E10=""),"",$G$2+SUMIF($F$3:$F10,"Espèces",$D$3:$D10)-SUMIF($F$3:$F10,"Espèces",$E$3:$E10))</f>
        <v/>
      </c>
      <c r="H10" s="7" t="str">
        <f aca="false">IF(AND($D10="",$E10=""),"",$H$2+SUMIF($F$3:$F10,"Mobile Money",$D$3:$D10)-SUMIF($F$3:$F10,"Mobile Money",$E$3:$E10))</f>
        <v/>
      </c>
    </row>
    <row r="11" customFormat="false" ht="15" hidden="false" customHeight="false" outlineLevel="0" collapsed="false">
      <c r="A11" s="2"/>
      <c r="B11" s="4"/>
      <c r="C11" s="4"/>
      <c r="D11" s="5"/>
      <c r="E11" s="5"/>
      <c r="F11" s="4"/>
      <c r="G11" s="7" t="str">
        <f aca="false">IF(AND($D11="",$E11=""),"",$G$2+SUMIF($F$3:$F11,"Espèces",$D$3:$D11)-SUMIF($F$3:$F11,"Espèces",$E$3:$E11))</f>
        <v/>
      </c>
      <c r="H11" s="7" t="str">
        <f aca="false">IF(AND($D11="",$E11=""),"",$H$2+SUMIF($F$3:$F11,"Mobile Money",$D$3:$D11)-SUMIF($F$3:$F11,"Mobile Money",$E$3:$E11))</f>
        <v/>
      </c>
    </row>
    <row r="12" customFormat="false" ht="15" hidden="false" customHeight="false" outlineLevel="0" collapsed="false">
      <c r="A12" s="2"/>
      <c r="B12" s="4"/>
      <c r="C12" s="4"/>
      <c r="D12" s="5"/>
      <c r="E12" s="5"/>
      <c r="F12" s="4"/>
      <c r="G12" s="7" t="str">
        <f aca="false">IF(AND($D12="",$E12=""),"",$G$2+SUMIF($F$3:$F12,"Espèces",$D$3:$D12)-SUMIF($F$3:$F12,"Espèces",$E$3:$E12))</f>
        <v/>
      </c>
      <c r="H12" s="7" t="str">
        <f aca="false">IF(AND($D12="",$E12=""),"",$H$2+SUMIF($F$3:$F12,"Mobile Money",$D$3:$D12)-SUMIF($F$3:$F12,"Mobile Money",$E$3:$E12))</f>
        <v/>
      </c>
    </row>
    <row r="13" customFormat="false" ht="15" hidden="false" customHeight="false" outlineLevel="0" collapsed="false">
      <c r="A13" s="2"/>
      <c r="B13" s="4"/>
      <c r="C13" s="4"/>
      <c r="D13" s="5"/>
      <c r="E13" s="5"/>
      <c r="F13" s="4"/>
      <c r="G13" s="7" t="str">
        <f aca="false">IF(AND($D13="",$E13=""),"",$G$2+SUMIF($F$3:$F13,"Espèces",$D$3:$D13)-SUMIF($F$3:$F13,"Espèces",$E$3:$E13))</f>
        <v/>
      </c>
      <c r="H13" s="7" t="str">
        <f aca="false">IF(AND($D13="",$E13=""),"",$H$2+SUMIF($F$3:$F13,"Mobile Money",$D$3:$D13)-SUMIF($F$3:$F13,"Mobile Money",$E$3:$E13))</f>
        <v/>
      </c>
    </row>
    <row r="14" customFormat="false" ht="15" hidden="false" customHeight="false" outlineLevel="0" collapsed="false">
      <c r="A14" s="2"/>
      <c r="B14" s="4"/>
      <c r="C14" s="4"/>
      <c r="D14" s="5"/>
      <c r="E14" s="5"/>
      <c r="F14" s="4"/>
      <c r="G14" s="7" t="str">
        <f aca="false">IF(AND($D14="",$E14=""),"",$G$2+SUMIF($F$3:$F14,"Espèces",$D$3:$D14)-SUMIF($F$3:$F14,"Espèces",$E$3:$E14))</f>
        <v/>
      </c>
      <c r="H14" s="7" t="str">
        <f aca="false">IF(AND($D14="",$E14=""),"",$H$2+SUMIF($F$3:$F14,"Mobile Money",$D$3:$D14)-SUMIF($F$3:$F14,"Mobile Money",$E$3:$E14))</f>
        <v/>
      </c>
    </row>
    <row r="15" customFormat="false" ht="15" hidden="false" customHeight="false" outlineLevel="0" collapsed="false">
      <c r="A15" s="2"/>
      <c r="B15" s="4"/>
      <c r="C15" s="4"/>
      <c r="D15" s="5"/>
      <c r="E15" s="5"/>
      <c r="F15" s="4"/>
      <c r="G15" s="7" t="str">
        <f aca="false">IF(AND($D15="",$E15=""),"",$G$2+SUMIF($F$3:$F15,"Espèces",$D$3:$D15)-SUMIF($F$3:$F15,"Espèces",$E$3:$E15))</f>
        <v/>
      </c>
      <c r="H15" s="7" t="str">
        <f aca="false">IF(AND($D15="",$E15=""),"",$H$2+SUMIF($F$3:$F15,"Mobile Money",$D$3:$D15)-SUMIF($F$3:$F15,"Mobile Money",$E$3:$E15))</f>
        <v/>
      </c>
    </row>
    <row r="16" customFormat="false" ht="15" hidden="false" customHeight="false" outlineLevel="0" collapsed="false">
      <c r="A16" s="2"/>
      <c r="B16" s="4"/>
      <c r="C16" s="4"/>
      <c r="D16" s="5"/>
      <c r="E16" s="5"/>
      <c r="F16" s="4"/>
      <c r="G16" s="7" t="str">
        <f aca="false">IF(AND($D16="",$E16=""),"",$G$2+SUMIF($F$3:$F16,"Espèces",$D$3:$D16)-SUMIF($F$3:$F16,"Espèces",$E$3:$E16))</f>
        <v/>
      </c>
      <c r="H16" s="7" t="str">
        <f aca="false">IF(AND($D16="",$E16=""),"",$H$2+SUMIF($F$3:$F16,"Mobile Money",$D$3:$D16)-SUMIF($F$3:$F16,"Mobile Money",$E$3:$E16))</f>
        <v/>
      </c>
    </row>
    <row r="17" customFormat="false" ht="15" hidden="false" customHeight="false" outlineLevel="0" collapsed="false">
      <c r="A17" s="2"/>
      <c r="B17" s="4"/>
      <c r="C17" s="4"/>
      <c r="D17" s="5"/>
      <c r="E17" s="5"/>
      <c r="F17" s="4"/>
      <c r="G17" s="7" t="str">
        <f aca="false">IF(AND($D17="",$E17=""),"",$G$2+SUMIF($F$3:$F17,"Espèces",$D$3:$D17)-SUMIF($F$3:$F17,"Espèces",$E$3:$E17))</f>
        <v/>
      </c>
      <c r="H17" s="7" t="str">
        <f aca="false">IF(AND($D17="",$E17=""),"",$H$2+SUMIF($F$3:$F17,"Mobile Money",$D$3:$D17)-SUMIF($F$3:$F17,"Mobile Money",$E$3:$E17))</f>
        <v/>
      </c>
    </row>
    <row r="18" customFormat="false" ht="15" hidden="false" customHeight="false" outlineLevel="0" collapsed="false">
      <c r="A18" s="2"/>
      <c r="B18" s="4"/>
      <c r="C18" s="4"/>
      <c r="D18" s="5"/>
      <c r="E18" s="5"/>
      <c r="F18" s="4"/>
      <c r="G18" s="7" t="str">
        <f aca="false">IF(AND($D18="",$E18=""),"",$G$2+SUMIF($F$3:$F18,"Espèces",$D$3:$D18)-SUMIF($F$3:$F18,"Espèces",$E$3:$E18))</f>
        <v/>
      </c>
      <c r="H18" s="7" t="str">
        <f aca="false">IF(AND($D18="",$E18=""),"",$H$2+SUMIF($F$3:$F18,"Mobile Money",$D$3:$D18)-SUMIF($F$3:$F18,"Mobile Money",$E$3:$E18))</f>
        <v/>
      </c>
    </row>
    <row r="19" customFormat="false" ht="15" hidden="false" customHeight="false" outlineLevel="0" collapsed="false">
      <c r="A19" s="2"/>
      <c r="B19" s="4"/>
      <c r="C19" s="4"/>
      <c r="D19" s="5"/>
      <c r="E19" s="5"/>
      <c r="F19" s="4"/>
      <c r="G19" s="7" t="str">
        <f aca="false">IF(AND($D19="",$E19=""),"",$G$2+SUMIF($F$3:$F19,"Espèces",$D$3:$D19)-SUMIF($F$3:$F19,"Espèces",$E$3:$E19))</f>
        <v/>
      </c>
      <c r="H19" s="7" t="str">
        <f aca="false">IF(AND($D19="",$E19=""),"",$H$2+SUMIF($F$3:$F19,"Mobile Money",$D$3:$D19)-SUMIF($F$3:$F19,"Mobile Money",$E$3:$E19))</f>
        <v/>
      </c>
    </row>
    <row r="20" customFormat="false" ht="15" hidden="false" customHeight="false" outlineLevel="0" collapsed="false">
      <c r="A20" s="2"/>
      <c r="B20" s="4"/>
      <c r="C20" s="4"/>
      <c r="D20" s="5"/>
      <c r="E20" s="5"/>
      <c r="F20" s="4"/>
      <c r="G20" s="7" t="str">
        <f aca="false">IF(AND($D20="",$E20=""),"",$G$2+SUMIF($F$3:$F20,"Espèces",$D$3:$D20)-SUMIF($F$3:$F20,"Espèces",$E$3:$E20))</f>
        <v/>
      </c>
      <c r="H20" s="7" t="str">
        <f aca="false">IF(AND($D20="",$E20=""),"",$H$2+SUMIF($F$3:$F20,"Mobile Money",$D$3:$D20)-SUMIF($F$3:$F20,"Mobile Money",$E$3:$E20))</f>
        <v/>
      </c>
    </row>
    <row r="21" customFormat="false" ht="15" hidden="false" customHeight="false" outlineLevel="0" collapsed="false">
      <c r="A21" s="2"/>
      <c r="B21" s="4"/>
      <c r="C21" s="4"/>
      <c r="D21" s="5"/>
      <c r="E21" s="5"/>
      <c r="F21" s="4"/>
      <c r="G21" s="7" t="str">
        <f aca="false">IF(AND($D21="",$E21=""),"",$G$2+SUMIF($F$3:$F21,"Espèces",$D$3:$D21)-SUMIF($F$3:$F21,"Espèces",$E$3:$E21))</f>
        <v/>
      </c>
      <c r="H21" s="7" t="str">
        <f aca="false">IF(AND($D21="",$E21=""),"",$H$2+SUMIF($F$3:$F21,"Mobile Money",$D$3:$D21)-SUMIF($F$3:$F21,"Mobile Money",$E$3:$E21))</f>
        <v/>
      </c>
    </row>
    <row r="22" customFormat="false" ht="15" hidden="false" customHeight="false" outlineLevel="0" collapsed="false">
      <c r="A22" s="2"/>
      <c r="B22" s="4"/>
      <c r="C22" s="4"/>
      <c r="D22" s="5"/>
      <c r="E22" s="5"/>
      <c r="F22" s="4"/>
      <c r="G22" s="7" t="str">
        <f aca="false">IF(AND($D22="",$E22=""),"",$G$2+SUMIF($F$3:$F22,"Espèces",$D$3:$D22)-SUMIF($F$3:$F22,"Espèces",$E$3:$E22))</f>
        <v/>
      </c>
      <c r="H22" s="7" t="str">
        <f aca="false">IF(AND($D22="",$E22=""),"",$H$2+SUMIF($F$3:$F22,"Mobile Money",$D$3:$D22)-SUMIF($F$3:$F22,"Mobile Money",$E$3:$E22))</f>
        <v/>
      </c>
    </row>
    <row r="23" customFormat="false" ht="15" hidden="false" customHeight="false" outlineLevel="0" collapsed="false">
      <c r="A23" s="2"/>
      <c r="B23" s="4"/>
      <c r="C23" s="4"/>
      <c r="D23" s="5"/>
      <c r="E23" s="5"/>
      <c r="F23" s="4"/>
      <c r="G23" s="7" t="str">
        <f aca="false">IF(AND($D23="",$E23=""),"",$G$2+SUMIF($F$3:$F23,"Espèces",$D$3:$D23)-SUMIF($F$3:$F23,"Espèces",$E$3:$E23))</f>
        <v/>
      </c>
      <c r="H23" s="7" t="str">
        <f aca="false">IF(AND($D23="",$E23=""),"",$H$2+SUMIF($F$3:$F23,"Mobile Money",$D$3:$D23)-SUMIF($F$3:$F23,"Mobile Money",$E$3:$E23))</f>
        <v/>
      </c>
    </row>
    <row r="24" customFormat="false" ht="15" hidden="false" customHeight="false" outlineLevel="0" collapsed="false">
      <c r="A24" s="2"/>
      <c r="B24" s="4"/>
      <c r="C24" s="4"/>
      <c r="D24" s="5"/>
      <c r="E24" s="5"/>
      <c r="F24" s="4"/>
      <c r="G24" s="7" t="str">
        <f aca="false">IF(AND($D24="",$E24=""),"",$G$2+SUMIF($F$3:$F24,"Espèces",$D$3:$D24)-SUMIF($F$3:$F24,"Espèces",$E$3:$E24))</f>
        <v/>
      </c>
      <c r="H24" s="7" t="str">
        <f aca="false">IF(AND($D24="",$E24=""),"",$H$2+SUMIF($F$3:$F24,"Mobile Money",$D$3:$D24)-SUMIF($F$3:$F24,"Mobile Money",$E$3:$E24))</f>
        <v/>
      </c>
    </row>
    <row r="25" customFormat="false" ht="15" hidden="false" customHeight="false" outlineLevel="0" collapsed="false">
      <c r="A25" s="2"/>
      <c r="B25" s="4"/>
      <c r="C25" s="4"/>
      <c r="D25" s="5"/>
      <c r="E25" s="5"/>
      <c r="F25" s="4"/>
      <c r="G25" s="7" t="str">
        <f aca="false">IF(AND($D25="",$E25=""),"",$G$2+SUMIF($F$3:$F25,"Espèces",$D$3:$D25)-SUMIF($F$3:$F25,"Espèces",$E$3:$E25))</f>
        <v/>
      </c>
      <c r="H25" s="7" t="str">
        <f aca="false">IF(AND($D25="",$E25=""),"",$H$2+SUMIF($F$3:$F25,"Mobile Money",$D$3:$D25)-SUMIF($F$3:$F25,"Mobile Money",$E$3:$E25))</f>
        <v/>
      </c>
    </row>
    <row r="26" customFormat="false" ht="15" hidden="false" customHeight="false" outlineLevel="0" collapsed="false">
      <c r="A26" s="2"/>
      <c r="B26" s="4"/>
      <c r="C26" s="4"/>
      <c r="D26" s="5"/>
      <c r="E26" s="5"/>
      <c r="F26" s="4"/>
      <c r="G26" s="7" t="str">
        <f aca="false">IF(AND($D26="",$E26=""),"",$G$2+SUMIF($F$3:$F26,"Espèces",$D$3:$D26)-SUMIF($F$3:$F26,"Espèces",$E$3:$E26))</f>
        <v/>
      </c>
      <c r="H26" s="7" t="str">
        <f aca="false">IF(AND($D26="",$E26=""),"",$H$2+SUMIF($F$3:$F26,"Mobile Money",$D$3:$D26)-SUMIF($F$3:$F26,"Mobile Money",$E$3:$E26))</f>
        <v/>
      </c>
    </row>
    <row r="27" customFormat="false" ht="15" hidden="false" customHeight="false" outlineLevel="0" collapsed="false">
      <c r="A27" s="2"/>
      <c r="B27" s="4"/>
      <c r="C27" s="4"/>
      <c r="D27" s="5"/>
      <c r="E27" s="5"/>
      <c r="F27" s="4"/>
      <c r="G27" s="7" t="str">
        <f aca="false">IF(AND($D27="",$E27=""),"",$G$2+SUMIF($F$3:$F27,"Espèces",$D$3:$D27)-SUMIF($F$3:$F27,"Espèces",$E$3:$E27))</f>
        <v/>
      </c>
      <c r="H27" s="7" t="str">
        <f aca="false">IF(AND($D27="",$E27=""),"",$H$2+SUMIF($F$3:$F27,"Mobile Money",$D$3:$D27)-SUMIF($F$3:$F27,"Mobile Money",$E$3:$E27))</f>
        <v/>
      </c>
    </row>
    <row r="28" customFormat="false" ht="15" hidden="false" customHeight="false" outlineLevel="0" collapsed="false">
      <c r="A28" s="2"/>
      <c r="B28" s="4"/>
      <c r="C28" s="4"/>
      <c r="D28" s="5"/>
      <c r="E28" s="5"/>
      <c r="F28" s="4"/>
      <c r="G28" s="7" t="str">
        <f aca="false">IF(AND($D28="",$E28=""),"",$G$2+SUMIF($F$3:$F28,"Espèces",$D$3:$D28)-SUMIF($F$3:$F28,"Espèces",$E$3:$E28))</f>
        <v/>
      </c>
      <c r="H28" s="7" t="str">
        <f aca="false">IF(AND($D28="",$E28=""),"",$H$2+SUMIF($F$3:$F28,"Mobile Money",$D$3:$D28)-SUMIF($F$3:$F28,"Mobile Money",$E$3:$E28))</f>
        <v/>
      </c>
    </row>
    <row r="29" customFormat="false" ht="15" hidden="false" customHeight="false" outlineLevel="0" collapsed="false">
      <c r="A29" s="2"/>
      <c r="B29" s="4"/>
      <c r="C29" s="4"/>
      <c r="D29" s="5"/>
      <c r="E29" s="5"/>
      <c r="F29" s="4"/>
      <c r="G29" s="7" t="str">
        <f aca="false">IF(AND($D29="",$E29=""),"",$G$2+SUMIF($F$3:$F29,"Espèces",$D$3:$D29)-SUMIF($F$3:$F29,"Espèces",$E$3:$E29))</f>
        <v/>
      </c>
      <c r="H29" s="7" t="str">
        <f aca="false">IF(AND($D29="",$E29=""),"",$H$2+SUMIF($F$3:$F29,"Mobile Money",$D$3:$D29)-SUMIF($F$3:$F29,"Mobile Money",$E$3:$E29))</f>
        <v/>
      </c>
    </row>
    <row r="30" customFormat="false" ht="15" hidden="false" customHeight="false" outlineLevel="0" collapsed="false">
      <c r="A30" s="2"/>
      <c r="B30" s="4"/>
      <c r="C30" s="4"/>
      <c r="D30" s="5"/>
      <c r="E30" s="5"/>
      <c r="F30" s="4"/>
      <c r="G30" s="7" t="str">
        <f aca="false">IF(AND($D30="",$E30=""),"",$G$2+SUMIF($F$3:$F30,"Espèces",$D$3:$D30)-SUMIF($F$3:$F30,"Espèces",$E$3:$E30))</f>
        <v/>
      </c>
      <c r="H30" s="7" t="str">
        <f aca="false">IF(AND($D30="",$E30=""),"",$H$2+SUMIF($F$3:$F30,"Mobile Money",$D$3:$D30)-SUMIF($F$3:$F30,"Mobile Money",$E$3:$E30))</f>
        <v/>
      </c>
    </row>
    <row r="31" customFormat="false" ht="15" hidden="false" customHeight="false" outlineLevel="0" collapsed="false">
      <c r="A31" s="2"/>
      <c r="B31" s="4"/>
      <c r="C31" s="4"/>
      <c r="D31" s="5"/>
      <c r="E31" s="5"/>
      <c r="F31" s="4"/>
      <c r="G31" s="7" t="str">
        <f aca="false">IF(AND($D31="",$E31=""),"",$G$2+SUMIF($F$3:$F31,"Espèces",$D$3:$D31)-SUMIF($F$3:$F31,"Espèces",$E$3:$E31))</f>
        <v/>
      </c>
      <c r="H31" s="7" t="str">
        <f aca="false">IF(AND($D31="",$E31=""),"",$H$2+SUMIF($F$3:$F31,"Mobile Money",$D$3:$D31)-SUMIF($F$3:$F31,"Mobile Money",$E$3:$E31))</f>
        <v/>
      </c>
    </row>
    <row r="32" customFormat="false" ht="15" hidden="false" customHeight="false" outlineLevel="0" collapsed="false">
      <c r="A32" s="2"/>
      <c r="B32" s="4"/>
      <c r="C32" s="4"/>
      <c r="D32" s="5"/>
      <c r="E32" s="5"/>
      <c r="F32" s="4"/>
      <c r="G32" s="7" t="str">
        <f aca="false">IF(AND($D32="",$E32=""),"",$G$2+SUMIF($F$3:$F32,"Espèces",$D$3:$D32)-SUMIF($F$3:$F32,"Espèces",$E$3:$E32))</f>
        <v/>
      </c>
      <c r="H32" s="7" t="str">
        <f aca="false">IF(AND($D32="",$E32=""),"",$H$2+SUMIF($F$3:$F32,"Mobile Money",$D$3:$D32)-SUMIF($F$3:$F32,"Mobile Money",$E$3:$E32))</f>
        <v/>
      </c>
    </row>
    <row r="33" customFormat="false" ht="15" hidden="false" customHeight="false" outlineLevel="0" collapsed="false">
      <c r="A33" s="2"/>
      <c r="B33" s="4"/>
      <c r="C33" s="4"/>
      <c r="D33" s="5"/>
      <c r="E33" s="5"/>
      <c r="F33" s="4"/>
      <c r="G33" s="7" t="str">
        <f aca="false">IF(AND($D33="",$E33=""),"",$G$2+SUMIF($F$3:$F33,"Espèces",$D$3:$D33)-SUMIF($F$3:$F33,"Espèces",$E$3:$E33))</f>
        <v/>
      </c>
      <c r="H33" s="7" t="str">
        <f aca="false">IF(AND($D33="",$E33=""),"",$H$2+SUMIF($F$3:$F33,"Mobile Money",$D$3:$D33)-SUMIF($F$3:$F33,"Mobile Money",$E$3:$E33))</f>
        <v/>
      </c>
    </row>
    <row r="34" customFormat="false" ht="15" hidden="false" customHeight="false" outlineLevel="0" collapsed="false">
      <c r="A34" s="2"/>
      <c r="B34" s="4"/>
      <c r="C34" s="4"/>
      <c r="D34" s="5"/>
      <c r="E34" s="5"/>
      <c r="F34" s="4"/>
      <c r="G34" s="7" t="str">
        <f aca="false">IF(AND($D34="",$E34=""),"",$G$2+SUMIF($F$3:$F34,"Espèces",$D$3:$D34)-SUMIF($F$3:$F34,"Espèces",$E$3:$E34))</f>
        <v/>
      </c>
      <c r="H34" s="7" t="str">
        <f aca="false">IF(AND($D34="",$E34=""),"",$H$2+SUMIF($F$3:$F34,"Mobile Money",$D$3:$D34)-SUMIF($F$3:$F34,"Mobile Money",$E$3:$E34))</f>
        <v/>
      </c>
    </row>
    <row r="35" customFormat="false" ht="15" hidden="false" customHeight="false" outlineLevel="0" collapsed="false">
      <c r="A35" s="2"/>
      <c r="B35" s="4"/>
      <c r="C35" s="4"/>
      <c r="D35" s="5"/>
      <c r="E35" s="5"/>
      <c r="F35" s="4"/>
      <c r="G35" s="7" t="str">
        <f aca="false">IF(AND($D35="",$E35=""),"",$G$2+SUMIF($F$3:$F35,"Espèces",$D$3:$D35)-SUMIF($F$3:$F35,"Espèces",$E$3:$E35))</f>
        <v/>
      </c>
      <c r="H35" s="7" t="str">
        <f aca="false">IF(AND($D35="",$E35=""),"",$H$2+SUMIF($F$3:$F35,"Mobile Money",$D$3:$D35)-SUMIF($F$3:$F35,"Mobile Money",$E$3:$E35))</f>
        <v/>
      </c>
    </row>
    <row r="36" customFormat="false" ht="15" hidden="false" customHeight="false" outlineLevel="0" collapsed="false">
      <c r="A36" s="2"/>
      <c r="B36" s="4"/>
      <c r="C36" s="4"/>
      <c r="D36" s="5"/>
      <c r="E36" s="5"/>
      <c r="F36" s="4"/>
      <c r="G36" s="7" t="str">
        <f aca="false">IF(AND($D36="",$E36=""),"",$G$2+SUMIF($F$3:$F36,"Espèces",$D$3:$D36)-SUMIF($F$3:$F36,"Espèces",$E$3:$E36))</f>
        <v/>
      </c>
      <c r="H36" s="7" t="str">
        <f aca="false">IF(AND($D36="",$E36=""),"",$H$2+SUMIF($F$3:$F36,"Mobile Money",$D$3:$D36)-SUMIF($F$3:$F36,"Mobile Money",$E$3:$E36))</f>
        <v/>
      </c>
    </row>
    <row r="37" customFormat="false" ht="15" hidden="false" customHeight="false" outlineLevel="0" collapsed="false">
      <c r="A37" s="2"/>
      <c r="B37" s="4"/>
      <c r="C37" s="4"/>
      <c r="D37" s="5"/>
      <c r="E37" s="5"/>
      <c r="F37" s="4"/>
      <c r="G37" s="7" t="str">
        <f aca="false">IF(AND($D37="",$E37=""),"",$G$2+SUMIF($F$3:$F37,"Espèces",$D$3:$D37)-SUMIF($F$3:$F37,"Espèces",$E$3:$E37))</f>
        <v/>
      </c>
      <c r="H37" s="7" t="str">
        <f aca="false">IF(AND($D37="",$E37=""),"",$H$2+SUMIF($F$3:$F37,"Mobile Money",$D$3:$D37)-SUMIF($F$3:$F37,"Mobile Money",$E$3:$E37))</f>
        <v/>
      </c>
    </row>
    <row r="38" customFormat="false" ht="15" hidden="false" customHeight="false" outlineLevel="0" collapsed="false">
      <c r="A38" s="2"/>
      <c r="B38" s="4"/>
      <c r="C38" s="4"/>
      <c r="D38" s="5"/>
      <c r="E38" s="5"/>
      <c r="F38" s="4"/>
      <c r="G38" s="7" t="str">
        <f aca="false">IF(AND($D38="",$E38=""),"",$G$2+SUMIF($F$3:$F38,"Espèces",$D$3:$D38)-SUMIF($F$3:$F38,"Espèces",$E$3:$E38))</f>
        <v/>
      </c>
      <c r="H38" s="7" t="str">
        <f aca="false">IF(AND($D38="",$E38=""),"",$H$2+SUMIF($F$3:$F38,"Mobile Money",$D$3:$D38)-SUMIF($F$3:$F38,"Mobile Money",$E$3:$E38))</f>
        <v/>
      </c>
    </row>
    <row r="39" customFormat="false" ht="15" hidden="false" customHeight="false" outlineLevel="0" collapsed="false">
      <c r="A39" s="2"/>
      <c r="B39" s="4"/>
      <c r="C39" s="4"/>
      <c r="D39" s="5"/>
      <c r="E39" s="5"/>
      <c r="F39" s="4"/>
      <c r="G39" s="7" t="str">
        <f aca="false">IF(AND($D39="",$E39=""),"",$G$2+SUMIF($F$3:$F39,"Espèces",$D$3:$D39)-SUMIF($F$3:$F39,"Espèces",$E$3:$E39))</f>
        <v/>
      </c>
      <c r="H39" s="7" t="str">
        <f aca="false">IF(AND($D39="",$E39=""),"",$H$2+SUMIF($F$3:$F39,"Mobile Money",$D$3:$D39)-SUMIF($F$3:$F39,"Mobile Money",$E$3:$E39))</f>
        <v/>
      </c>
    </row>
    <row r="40" customFormat="false" ht="15" hidden="false" customHeight="false" outlineLevel="0" collapsed="false">
      <c r="A40" s="2"/>
      <c r="B40" s="4"/>
      <c r="C40" s="4"/>
      <c r="D40" s="5"/>
      <c r="E40" s="5"/>
      <c r="F40" s="4"/>
      <c r="G40" s="7" t="str">
        <f aca="false">IF(AND($D40="",$E40=""),"",$G$2+SUMIF($F$3:$F40,"Espèces",$D$3:$D40)-SUMIF($F$3:$F40,"Espèces",$E$3:$E40))</f>
        <v/>
      </c>
      <c r="H40" s="7" t="str">
        <f aca="false">IF(AND($D40="",$E40=""),"",$H$2+SUMIF($F$3:$F40,"Mobile Money",$D$3:$D40)-SUMIF($F$3:$F40,"Mobile Money",$E$3:$E40))</f>
        <v/>
      </c>
    </row>
    <row r="41" customFormat="false" ht="15" hidden="false" customHeight="false" outlineLevel="0" collapsed="false">
      <c r="A41" s="2"/>
      <c r="B41" s="4"/>
      <c r="C41" s="4"/>
      <c r="D41" s="5"/>
      <c r="E41" s="5"/>
      <c r="F41" s="4"/>
      <c r="G41" s="7" t="str">
        <f aca="false">IF(AND($D41="",$E41=""),"",$G$2+SUMIF($F$3:$F41,"Espèces",$D$3:$D41)-SUMIF($F$3:$F41,"Espèces",$E$3:$E41))</f>
        <v/>
      </c>
      <c r="H41" s="7" t="str">
        <f aca="false">IF(AND($D41="",$E41=""),"",$H$2+SUMIF($F$3:$F41,"Mobile Money",$D$3:$D41)-SUMIF($F$3:$F41,"Mobile Money",$E$3:$E41))</f>
        <v/>
      </c>
    </row>
    <row r="42" customFormat="false" ht="15" hidden="false" customHeight="false" outlineLevel="0" collapsed="false">
      <c r="A42" s="2"/>
      <c r="B42" s="4"/>
      <c r="C42" s="4"/>
      <c r="D42" s="5"/>
      <c r="E42" s="5"/>
      <c r="F42" s="4"/>
      <c r="G42" s="7" t="str">
        <f aca="false">IF(AND($D42="",$E42=""),"",$G$2+SUMIF($F$3:$F42,"Espèces",$D$3:$D42)-SUMIF($F$3:$F42,"Espèces",$E$3:$E42))</f>
        <v/>
      </c>
      <c r="H42" s="7" t="str">
        <f aca="false">IF(AND($D42="",$E42=""),"",$H$2+SUMIF($F$3:$F42,"Mobile Money",$D$3:$D42)-SUMIF($F$3:$F42,"Mobile Money",$E$3:$E42))</f>
        <v/>
      </c>
    </row>
    <row r="43" customFormat="false" ht="15" hidden="false" customHeight="false" outlineLevel="0" collapsed="false">
      <c r="A43" s="2"/>
      <c r="B43" s="4"/>
      <c r="C43" s="4"/>
      <c r="D43" s="5"/>
      <c r="E43" s="5"/>
      <c r="F43" s="4"/>
      <c r="G43" s="7" t="str">
        <f aca="false">IF(AND($D43="",$E43=""),"",$G$2+SUMIF($F$3:$F43,"Espèces",$D$3:$D43)-SUMIF($F$3:$F43,"Espèces",$E$3:$E43))</f>
        <v/>
      </c>
      <c r="H43" s="7" t="str">
        <f aca="false">IF(AND($D43="",$E43=""),"",$H$2+SUMIF($F$3:$F43,"Mobile Money",$D$3:$D43)-SUMIF($F$3:$F43,"Mobile Money",$E$3:$E43))</f>
        <v/>
      </c>
    </row>
    <row r="44" customFormat="false" ht="15" hidden="false" customHeight="false" outlineLevel="0" collapsed="false">
      <c r="A44" s="2"/>
      <c r="B44" s="4"/>
      <c r="C44" s="4"/>
      <c r="D44" s="5"/>
      <c r="E44" s="5"/>
      <c r="F44" s="4"/>
      <c r="G44" s="7" t="str">
        <f aca="false">IF(AND($D44="",$E44=""),"",$G$2+SUMIF($F$3:$F44,"Espèces",$D$3:$D44)-SUMIF($F$3:$F44,"Espèces",$E$3:$E44))</f>
        <v/>
      </c>
      <c r="H44" s="7" t="str">
        <f aca="false">IF(AND($D44="",$E44=""),"",$H$2+SUMIF($F$3:$F44,"Mobile Money",$D$3:$D44)-SUMIF($F$3:$F44,"Mobile Money",$E$3:$E44))</f>
        <v/>
      </c>
    </row>
    <row r="45" customFormat="false" ht="15" hidden="false" customHeight="false" outlineLevel="0" collapsed="false">
      <c r="A45" s="2"/>
      <c r="B45" s="4"/>
      <c r="C45" s="4"/>
      <c r="D45" s="5"/>
      <c r="E45" s="5"/>
      <c r="F45" s="4"/>
      <c r="G45" s="7" t="str">
        <f aca="false">IF(AND($D45="",$E45=""),"",$G$2+SUMIF($F$3:$F45,"Espèces",$D$3:$D45)-SUMIF($F$3:$F45,"Espèces",$E$3:$E45))</f>
        <v/>
      </c>
      <c r="H45" s="7" t="str">
        <f aca="false">IF(AND($D45="",$E45=""),"",$H$2+SUMIF($F$3:$F45,"Mobile Money",$D$3:$D45)-SUMIF($F$3:$F45,"Mobile Money",$E$3:$E45))</f>
        <v/>
      </c>
    </row>
    <row r="46" customFormat="false" ht="15" hidden="false" customHeight="false" outlineLevel="0" collapsed="false">
      <c r="A46" s="2"/>
      <c r="B46" s="4"/>
      <c r="C46" s="4"/>
      <c r="D46" s="5"/>
      <c r="E46" s="5"/>
      <c r="F46" s="4"/>
      <c r="G46" s="7" t="str">
        <f aca="false">IF(AND($D46="",$E46=""),"",$G$2+SUMIF($F$3:$F46,"Espèces",$D$3:$D46)-SUMIF($F$3:$F46,"Espèces",$E$3:$E46))</f>
        <v/>
      </c>
      <c r="H46" s="7" t="str">
        <f aca="false">IF(AND($D46="",$E46=""),"",$H$2+SUMIF($F$3:$F46,"Mobile Money",$D$3:$D46)-SUMIF($F$3:$F46,"Mobile Money",$E$3:$E46))</f>
        <v/>
      </c>
    </row>
    <row r="47" customFormat="false" ht="15" hidden="false" customHeight="false" outlineLevel="0" collapsed="false">
      <c r="A47" s="2"/>
      <c r="B47" s="4"/>
      <c r="C47" s="4"/>
      <c r="D47" s="5"/>
      <c r="E47" s="5"/>
      <c r="F47" s="4"/>
      <c r="G47" s="7" t="str">
        <f aca="false">IF(AND($D47="",$E47=""),"",$G$2+SUMIF($F$3:$F47,"Espèces",$D$3:$D47)-SUMIF($F$3:$F47,"Espèces",$E$3:$E47))</f>
        <v/>
      </c>
      <c r="H47" s="7" t="str">
        <f aca="false">IF(AND($D47="",$E47=""),"",$H$2+SUMIF($F$3:$F47,"Mobile Money",$D$3:$D47)-SUMIF($F$3:$F47,"Mobile Money",$E$3:$E47))</f>
        <v/>
      </c>
    </row>
    <row r="48" customFormat="false" ht="15" hidden="false" customHeight="false" outlineLevel="0" collapsed="false">
      <c r="A48" s="2"/>
      <c r="B48" s="4"/>
      <c r="C48" s="4"/>
      <c r="D48" s="5"/>
      <c r="E48" s="5"/>
      <c r="F48" s="4"/>
      <c r="G48" s="7" t="str">
        <f aca="false">IF(AND($D48="",$E48=""),"",$G$2+SUMIF($F$3:$F48,"Espèces",$D$3:$D48)-SUMIF($F$3:$F48,"Espèces",$E$3:$E48))</f>
        <v/>
      </c>
      <c r="H48" s="7" t="str">
        <f aca="false">IF(AND($D48="",$E48=""),"",$H$2+SUMIF($F$3:$F48,"Mobile Money",$D$3:$D48)-SUMIF($F$3:$F48,"Mobile Money",$E$3:$E48))</f>
        <v/>
      </c>
    </row>
    <row r="49" customFormat="false" ht="15" hidden="false" customHeight="false" outlineLevel="0" collapsed="false">
      <c r="A49" s="2"/>
      <c r="B49" s="4"/>
      <c r="C49" s="4"/>
      <c r="D49" s="5"/>
      <c r="E49" s="5"/>
      <c r="F49" s="4"/>
      <c r="G49" s="7" t="str">
        <f aca="false">IF(AND($D49="",$E49=""),"",$G$2+SUMIF($F$3:$F49,"Espèces",$D$3:$D49)-SUMIF($F$3:$F49,"Espèces",$E$3:$E49))</f>
        <v/>
      </c>
      <c r="H49" s="7" t="str">
        <f aca="false">IF(AND($D49="",$E49=""),"",$H$2+SUMIF($F$3:$F49,"Mobile Money",$D$3:$D49)-SUMIF($F$3:$F49,"Mobile Money",$E$3:$E49))</f>
        <v/>
      </c>
    </row>
    <row r="50" customFormat="false" ht="15" hidden="false" customHeight="false" outlineLevel="0" collapsed="false">
      <c r="A50" s="2"/>
      <c r="B50" s="4"/>
      <c r="C50" s="4"/>
      <c r="D50" s="5"/>
      <c r="E50" s="5"/>
      <c r="F50" s="4"/>
      <c r="G50" s="7" t="str">
        <f aca="false">IF(AND($D50="",$E50=""),"",$G$2+SUMIF($F$3:$F50,"Espèces",$D$3:$D50)-SUMIF($F$3:$F50,"Espèces",$E$3:$E50))</f>
        <v/>
      </c>
      <c r="H50" s="7" t="str">
        <f aca="false">IF(AND($D50="",$E50=""),"",$H$2+SUMIF($F$3:$F50,"Mobile Money",$D$3:$D50)-SUMIF($F$3:$F50,"Mobile Money",$E$3:$E50))</f>
        <v/>
      </c>
    </row>
    <row r="51" customFormat="false" ht="15" hidden="false" customHeight="false" outlineLevel="0" collapsed="false">
      <c r="A51" s="2"/>
      <c r="B51" s="4"/>
      <c r="C51" s="4"/>
      <c r="D51" s="5"/>
      <c r="E51" s="5"/>
      <c r="F51" s="4"/>
      <c r="G51" s="7" t="str">
        <f aca="false">IF(AND($D51="",$E51=""),"",$G$2+SUMIF($F$3:$F51,"Espèces",$D$3:$D51)-SUMIF($F$3:$F51,"Espèces",$E$3:$E51))</f>
        <v/>
      </c>
      <c r="H51" s="7" t="str">
        <f aca="false">IF(AND($D51="",$E51=""),"",$H$2+SUMIF($F$3:$F51,"Mobile Money",$D$3:$D51)-SUMIF($F$3:$F51,"Mobile Money",$E$3:$E51))</f>
        <v/>
      </c>
    </row>
    <row r="52" customFormat="false" ht="15" hidden="false" customHeight="false" outlineLevel="0" collapsed="false">
      <c r="A52" s="2"/>
      <c r="B52" s="4"/>
      <c r="C52" s="4"/>
      <c r="D52" s="5"/>
      <c r="E52" s="5"/>
      <c r="F52" s="4"/>
      <c r="G52" s="7" t="str">
        <f aca="false">IF(AND($D52="",$E52=""),"",$G$2+SUMIF($F$3:$F52,"Espèces",$D$3:$D52)-SUMIF($F$3:$F52,"Espèces",$E$3:$E52))</f>
        <v/>
      </c>
      <c r="H52" s="7" t="str">
        <f aca="false">IF(AND($D52="",$E52=""),"",$H$2+SUMIF($F$3:$F52,"Mobile Money",$D$3:$D52)-SUMIF($F$3:$F52,"Mobile Money",$E$3:$E52))</f>
        <v/>
      </c>
    </row>
    <row r="53" customFormat="false" ht="15" hidden="false" customHeight="false" outlineLevel="0" collapsed="false">
      <c r="A53" s="2"/>
      <c r="B53" s="4"/>
      <c r="C53" s="4"/>
      <c r="D53" s="5"/>
      <c r="E53" s="5"/>
      <c r="F53" s="4"/>
      <c r="G53" s="7" t="str">
        <f aca="false">IF(AND($D53="",$E53=""),"",$G$2+SUMIF($F$3:$F53,"Espèces",$D$3:$D53)-SUMIF($F$3:$F53,"Espèces",$E$3:$E53))</f>
        <v/>
      </c>
      <c r="H53" s="7" t="str">
        <f aca="false">IF(AND($D53="",$E53=""),"",$H$2+SUMIF($F$3:$F53,"Mobile Money",$D$3:$D53)-SUMIF($F$3:$F53,"Mobile Money",$E$3:$E53))</f>
        <v/>
      </c>
    </row>
    <row r="54" customFormat="false" ht="15" hidden="false" customHeight="false" outlineLevel="0" collapsed="false">
      <c r="A54" s="2"/>
      <c r="B54" s="4"/>
      <c r="C54" s="4"/>
      <c r="D54" s="5"/>
      <c r="E54" s="5"/>
      <c r="F54" s="4"/>
      <c r="G54" s="7" t="str">
        <f aca="false">IF(AND($D54="",$E54=""),"",$G$2+SUMIF($F$3:$F54,"Espèces",$D$3:$D54)-SUMIF($F$3:$F54,"Espèces",$E$3:$E54))</f>
        <v/>
      </c>
      <c r="H54" s="7" t="str">
        <f aca="false">IF(AND($D54="",$E54=""),"",$H$2+SUMIF($F$3:$F54,"Mobile Money",$D$3:$D54)-SUMIF($F$3:$F54,"Mobile Money",$E$3:$E54))</f>
        <v/>
      </c>
    </row>
    <row r="55" customFormat="false" ht="15" hidden="false" customHeight="false" outlineLevel="0" collapsed="false">
      <c r="A55" s="2"/>
      <c r="B55" s="4"/>
      <c r="C55" s="4"/>
      <c r="D55" s="5"/>
      <c r="E55" s="5"/>
      <c r="F55" s="4"/>
      <c r="G55" s="7" t="str">
        <f aca="false">IF(AND($D55="",$E55=""),"",$G$2+SUMIF($F$3:$F55,"Espèces",$D$3:$D55)-SUMIF($F$3:$F55,"Espèces",$E$3:$E55))</f>
        <v/>
      </c>
      <c r="H55" s="7" t="str">
        <f aca="false">IF(AND($D55="",$E55=""),"",$H$2+SUMIF($F$3:$F55,"Mobile Money",$D$3:$D55)-SUMIF($F$3:$F55,"Mobile Money",$E$3:$E55))</f>
        <v/>
      </c>
    </row>
    <row r="56" customFormat="false" ht="15" hidden="false" customHeight="false" outlineLevel="0" collapsed="false">
      <c r="A56" s="2"/>
      <c r="B56" s="4"/>
      <c r="C56" s="4"/>
      <c r="D56" s="5"/>
      <c r="E56" s="5"/>
      <c r="F56" s="4"/>
      <c r="G56" s="7" t="str">
        <f aca="false">IF(AND($D56="",$E56=""),"",$G$2+SUMIF($F$3:$F56,"Espèces",$D$3:$D56)-SUMIF($F$3:$F56,"Espèces",$E$3:$E56))</f>
        <v/>
      </c>
      <c r="H56" s="7" t="str">
        <f aca="false">IF(AND($D56="",$E56=""),"",$H$2+SUMIF($F$3:$F56,"Mobile Money",$D$3:$D56)-SUMIF($F$3:$F56,"Mobile Money",$E$3:$E56))</f>
        <v/>
      </c>
    </row>
    <row r="57" customFormat="false" ht="15" hidden="false" customHeight="false" outlineLevel="0" collapsed="false">
      <c r="A57" s="2"/>
      <c r="B57" s="4"/>
      <c r="C57" s="4"/>
      <c r="D57" s="5"/>
      <c r="E57" s="5"/>
      <c r="F57" s="4"/>
      <c r="G57" s="7" t="str">
        <f aca="false">IF(AND($D57="",$E57=""),"",$G$2+SUMIF($F$3:$F57,"Espèces",$D$3:$D57)-SUMIF($F$3:$F57,"Espèces",$E$3:$E57))</f>
        <v/>
      </c>
      <c r="H57" s="7" t="str">
        <f aca="false">IF(AND($D57="",$E57=""),"",$H$2+SUMIF($F$3:$F57,"Mobile Money",$D$3:$D57)-SUMIF($F$3:$F57,"Mobile Money",$E$3:$E57))</f>
        <v/>
      </c>
    </row>
    <row r="58" customFormat="false" ht="15" hidden="false" customHeight="false" outlineLevel="0" collapsed="false">
      <c r="A58" s="2"/>
      <c r="B58" s="4"/>
      <c r="C58" s="4"/>
      <c r="D58" s="5"/>
      <c r="E58" s="5"/>
      <c r="F58" s="4"/>
      <c r="G58" s="7" t="str">
        <f aca="false">IF(AND($D58="",$E58=""),"",$G$2+SUMIF($F$3:$F58,"Espèces",$D$3:$D58)-SUMIF($F$3:$F58,"Espèces",$E$3:$E58))</f>
        <v/>
      </c>
      <c r="H58" s="7" t="str">
        <f aca="false">IF(AND($D58="",$E58=""),"",$H$2+SUMIF($F$3:$F58,"Mobile Money",$D$3:$D58)-SUMIF($F$3:$F58,"Mobile Money",$E$3:$E58))</f>
        <v/>
      </c>
    </row>
    <row r="59" customFormat="false" ht="15" hidden="false" customHeight="false" outlineLevel="0" collapsed="false">
      <c r="A59" s="2"/>
      <c r="B59" s="4"/>
      <c r="C59" s="4"/>
      <c r="D59" s="5"/>
      <c r="E59" s="5"/>
      <c r="F59" s="4"/>
      <c r="G59" s="7" t="str">
        <f aca="false">IF(AND($D59="",$E59=""),"",$G$2+SUMIF($F$3:$F59,"Espèces",$D$3:$D59)-SUMIF($F$3:$F59,"Espèces",$E$3:$E59))</f>
        <v/>
      </c>
      <c r="H59" s="7" t="str">
        <f aca="false">IF(AND($D59="",$E59=""),"",$H$2+SUMIF($F$3:$F59,"Mobile Money",$D$3:$D59)-SUMIF($F$3:$F59,"Mobile Money",$E$3:$E59))</f>
        <v/>
      </c>
    </row>
    <row r="60" customFormat="false" ht="15" hidden="false" customHeight="false" outlineLevel="0" collapsed="false">
      <c r="A60" s="2"/>
      <c r="B60" s="4"/>
      <c r="C60" s="4"/>
      <c r="D60" s="5"/>
      <c r="E60" s="5"/>
      <c r="F60" s="4"/>
      <c r="G60" s="7" t="str">
        <f aca="false">IF(AND($D60="",$E60=""),"",$G$2+SUMIF($F$3:$F60,"Espèces",$D$3:$D60)-SUMIF($F$3:$F60,"Espèces",$E$3:$E60))</f>
        <v/>
      </c>
      <c r="H60" s="7" t="str">
        <f aca="false">IF(AND($D60="",$E60=""),"",$H$2+SUMIF($F$3:$F60,"Mobile Money",$D$3:$D60)-SUMIF($F$3:$F60,"Mobile Money",$E$3:$E60))</f>
        <v/>
      </c>
    </row>
    <row r="61" customFormat="false" ht="15" hidden="false" customHeight="false" outlineLevel="0" collapsed="false">
      <c r="A61" s="2"/>
      <c r="B61" s="4"/>
      <c r="C61" s="4"/>
      <c r="D61" s="5"/>
      <c r="E61" s="5"/>
      <c r="F61" s="4"/>
      <c r="G61" s="7" t="str">
        <f aca="false">IF(AND($D61="",$E61=""),"",$G$2+SUMIF($F$3:$F61,"Espèces",$D$3:$D61)-SUMIF($F$3:$F61,"Espèces",$E$3:$E61))</f>
        <v/>
      </c>
      <c r="H61" s="7" t="str">
        <f aca="false">IF(AND($D61="",$E61=""),"",$H$2+SUMIF($F$3:$F61,"Mobile Money",$D$3:$D61)-SUMIF($F$3:$F61,"Mobile Money",$E$3:$E61))</f>
        <v/>
      </c>
    </row>
    <row r="62" customFormat="false" ht="15" hidden="false" customHeight="false" outlineLevel="0" collapsed="false">
      <c r="A62" s="2"/>
      <c r="B62" s="4"/>
      <c r="C62" s="4"/>
      <c r="D62" s="5"/>
      <c r="E62" s="5"/>
      <c r="F62" s="4"/>
      <c r="G62" s="7" t="str">
        <f aca="false">IF(AND($D62="",$E62=""),"",$G$2+SUMIF($F$3:$F62,"Espèces",$D$3:$D62)-SUMIF($F$3:$F62,"Espèces",$E$3:$E62))</f>
        <v/>
      </c>
      <c r="H62" s="7" t="str">
        <f aca="false">IF(AND($D62="",$E62=""),"",$H$2+SUMIF($F$3:$F62,"Mobile Money",$D$3:$D62)-SUMIF($F$3:$F62,"Mobile Money",$E$3:$E62))</f>
        <v/>
      </c>
    </row>
    <row r="63" customFormat="false" ht="15" hidden="false" customHeight="false" outlineLevel="0" collapsed="false">
      <c r="A63" s="2"/>
      <c r="B63" s="4"/>
      <c r="C63" s="4"/>
      <c r="D63" s="5"/>
      <c r="E63" s="5"/>
      <c r="F63" s="4"/>
      <c r="G63" s="7" t="str">
        <f aca="false">IF(AND($D63="",$E63=""),"",$G$2+SUMIF($F$3:$F63,"Espèces",$D$3:$D63)-SUMIF($F$3:$F63,"Espèces",$E$3:$E63))</f>
        <v/>
      </c>
      <c r="H63" s="7" t="str">
        <f aca="false">IF(AND($D63="",$E63=""),"",$H$2+SUMIF($F$3:$F63,"Mobile Money",$D$3:$D63)-SUMIF($F$3:$F63,"Mobile Money",$E$3:$E63))</f>
        <v/>
      </c>
    </row>
    <row r="64" customFormat="false" ht="15" hidden="false" customHeight="false" outlineLevel="0" collapsed="false">
      <c r="A64" s="2"/>
      <c r="B64" s="4"/>
      <c r="C64" s="4"/>
      <c r="D64" s="5"/>
      <c r="E64" s="5"/>
      <c r="F64" s="4"/>
      <c r="G64" s="7" t="str">
        <f aca="false">IF(AND($D64="",$E64=""),"",$G$2+SUMIF($F$3:$F64,"Espèces",$D$3:$D64)-SUMIF($F$3:$F64,"Espèces",$E$3:$E64))</f>
        <v/>
      </c>
      <c r="H64" s="7" t="str">
        <f aca="false">IF(AND($D64="",$E64=""),"",$H$2+SUMIF($F$3:$F64,"Mobile Money",$D$3:$D64)-SUMIF($F$3:$F64,"Mobile Money",$E$3:$E64))</f>
        <v/>
      </c>
    </row>
    <row r="65" customFormat="false" ht="15" hidden="false" customHeight="false" outlineLevel="0" collapsed="false">
      <c r="A65" s="2"/>
      <c r="B65" s="4"/>
      <c r="C65" s="4"/>
      <c r="D65" s="5"/>
      <c r="E65" s="5"/>
      <c r="F65" s="4"/>
      <c r="G65" s="7" t="str">
        <f aca="false">IF(AND($D65="",$E65=""),"",$G$2+SUMIF($F$3:$F65,"Espèces",$D$3:$D65)-SUMIF($F$3:$F65,"Espèces",$E$3:$E65))</f>
        <v/>
      </c>
      <c r="H65" s="7" t="str">
        <f aca="false">IF(AND($D65="",$E65=""),"",$H$2+SUMIF($F$3:$F65,"Mobile Money",$D$3:$D65)-SUMIF($F$3:$F65,"Mobile Money",$E$3:$E65))</f>
        <v/>
      </c>
    </row>
    <row r="66" customFormat="false" ht="15" hidden="false" customHeight="false" outlineLevel="0" collapsed="false">
      <c r="A66" s="2"/>
      <c r="B66" s="4"/>
      <c r="C66" s="4"/>
      <c r="D66" s="5"/>
      <c r="E66" s="5"/>
      <c r="F66" s="4"/>
      <c r="G66" s="7" t="str">
        <f aca="false">IF(AND($D66="",$E66=""),"",$G$2+SUMIF($F$3:$F66,"Espèces",$D$3:$D66)-SUMIF($F$3:$F66,"Espèces",$E$3:$E66))</f>
        <v/>
      </c>
      <c r="H66" s="7" t="str">
        <f aca="false">IF(AND($D66="",$E66=""),"",$H$2+SUMIF($F$3:$F66,"Mobile Money",$D$3:$D66)-SUMIF($F$3:$F66,"Mobile Money",$E$3:$E66))</f>
        <v/>
      </c>
    </row>
    <row r="67" customFormat="false" ht="15" hidden="false" customHeight="false" outlineLevel="0" collapsed="false">
      <c r="A67" s="2"/>
      <c r="B67" s="4"/>
      <c r="C67" s="4"/>
      <c r="D67" s="5"/>
      <c r="E67" s="5"/>
      <c r="F67" s="4"/>
      <c r="G67" s="7" t="str">
        <f aca="false">IF(AND($D67="",$E67=""),"",$G$2+SUMIF($F$3:$F67,"Espèces",$D$3:$D67)-SUMIF($F$3:$F67,"Espèces",$E$3:$E67))</f>
        <v/>
      </c>
      <c r="H67" s="7" t="str">
        <f aca="false">IF(AND($D67="",$E67=""),"",$H$2+SUMIF($F$3:$F67,"Mobile Money",$D$3:$D67)-SUMIF($F$3:$F67,"Mobile Money",$E$3:$E67))</f>
        <v/>
      </c>
    </row>
    <row r="68" customFormat="false" ht="15" hidden="false" customHeight="false" outlineLevel="0" collapsed="false">
      <c r="A68" s="2"/>
      <c r="B68" s="4"/>
      <c r="C68" s="4"/>
      <c r="D68" s="5"/>
      <c r="E68" s="5"/>
      <c r="F68" s="4"/>
      <c r="G68" s="7" t="str">
        <f aca="false">IF(AND($D68="",$E68=""),"",$G$2+SUMIF($F$3:$F68,"Espèces",$D$3:$D68)-SUMIF($F$3:$F68,"Espèces",$E$3:$E68))</f>
        <v/>
      </c>
      <c r="H68" s="7" t="str">
        <f aca="false">IF(AND($D68="",$E68=""),"",$H$2+SUMIF($F$3:$F68,"Mobile Money",$D$3:$D68)-SUMIF($F$3:$F68,"Mobile Money",$E$3:$E68))</f>
        <v/>
      </c>
    </row>
    <row r="69" customFormat="false" ht="15" hidden="false" customHeight="false" outlineLevel="0" collapsed="false">
      <c r="A69" s="2"/>
      <c r="B69" s="4"/>
      <c r="C69" s="4"/>
      <c r="D69" s="5"/>
      <c r="E69" s="5"/>
      <c r="F69" s="4"/>
      <c r="G69" s="7" t="str">
        <f aca="false">IF(AND($D69="",$E69=""),"",$G$2+SUMIF($F$3:$F69,"Espèces",$D$3:$D69)-SUMIF($F$3:$F69,"Espèces",$E$3:$E69))</f>
        <v/>
      </c>
      <c r="H69" s="7" t="str">
        <f aca="false">IF(AND($D69="",$E69=""),"",$H$2+SUMIF($F$3:$F69,"Mobile Money",$D$3:$D69)-SUMIF($F$3:$F69,"Mobile Money",$E$3:$E69))</f>
        <v/>
      </c>
    </row>
    <row r="70" customFormat="false" ht="15" hidden="false" customHeight="false" outlineLevel="0" collapsed="false">
      <c r="A70" s="2"/>
      <c r="B70" s="4"/>
      <c r="C70" s="4"/>
      <c r="D70" s="5"/>
      <c r="E70" s="5"/>
      <c r="F70" s="4"/>
      <c r="G70" s="7" t="str">
        <f aca="false">IF(AND($D70="",$E70=""),"",$G$2+SUMIF($F$3:$F70,"Espèces",$D$3:$D70)-SUMIF($F$3:$F70,"Espèces",$E$3:$E70))</f>
        <v/>
      </c>
      <c r="H70" s="7" t="str">
        <f aca="false">IF(AND($D70="",$E70=""),"",$H$2+SUMIF($F$3:$F70,"Mobile Money",$D$3:$D70)-SUMIF($F$3:$F70,"Mobile Money",$E$3:$E70))</f>
        <v/>
      </c>
    </row>
    <row r="71" customFormat="false" ht="15" hidden="false" customHeight="false" outlineLevel="0" collapsed="false">
      <c r="A71" s="2"/>
      <c r="B71" s="4"/>
      <c r="C71" s="4"/>
      <c r="D71" s="5"/>
      <c r="E71" s="5"/>
      <c r="F71" s="4"/>
      <c r="G71" s="7" t="str">
        <f aca="false">IF(AND($D71="",$E71=""),"",$G$2+SUMIF($F$3:$F71,"Espèces",$D$3:$D71)-SUMIF($F$3:$F71,"Espèces",$E$3:$E71))</f>
        <v/>
      </c>
      <c r="H71" s="7" t="str">
        <f aca="false">IF(AND($D71="",$E71=""),"",$H$2+SUMIF($F$3:$F71,"Mobile Money",$D$3:$D71)-SUMIF($F$3:$F71,"Mobile Money",$E$3:$E71))</f>
        <v/>
      </c>
    </row>
    <row r="72" customFormat="false" ht="15" hidden="false" customHeight="false" outlineLevel="0" collapsed="false">
      <c r="A72" s="2"/>
      <c r="B72" s="4"/>
      <c r="C72" s="4"/>
      <c r="D72" s="5"/>
      <c r="E72" s="5"/>
      <c r="F72" s="4"/>
      <c r="G72" s="7" t="str">
        <f aca="false">IF(AND($D72="",$E72=""),"",$G$2+SUMIF($F$3:$F72,"Espèces",$D$3:$D72)-SUMIF($F$3:$F72,"Espèces",$E$3:$E72))</f>
        <v/>
      </c>
      <c r="H72" s="7" t="str">
        <f aca="false">IF(AND($D72="",$E72=""),"",$H$2+SUMIF($F$3:$F72,"Mobile Money",$D$3:$D72)-SUMIF($F$3:$F72,"Mobile Money",$E$3:$E72))</f>
        <v/>
      </c>
    </row>
    <row r="73" customFormat="false" ht="15" hidden="false" customHeight="false" outlineLevel="0" collapsed="false">
      <c r="A73" s="2"/>
      <c r="B73" s="4"/>
      <c r="C73" s="4"/>
      <c r="D73" s="5"/>
      <c r="E73" s="5"/>
      <c r="F73" s="4"/>
      <c r="G73" s="7" t="str">
        <f aca="false">IF(AND($D73="",$E73=""),"",$G$2+SUMIF($F$3:$F73,"Espèces",$D$3:$D73)-SUMIF($F$3:$F73,"Espèces",$E$3:$E73))</f>
        <v/>
      </c>
      <c r="H73" s="7" t="str">
        <f aca="false">IF(AND($D73="",$E73=""),"",$H$2+SUMIF($F$3:$F73,"Mobile Money",$D$3:$D73)-SUMIF($F$3:$F73,"Mobile Money",$E$3:$E73))</f>
        <v/>
      </c>
    </row>
    <row r="74" customFormat="false" ht="15" hidden="false" customHeight="false" outlineLevel="0" collapsed="false">
      <c r="A74" s="2"/>
      <c r="B74" s="4"/>
      <c r="C74" s="4"/>
      <c r="D74" s="5"/>
      <c r="E74" s="5"/>
      <c r="F74" s="4"/>
      <c r="G74" s="7" t="str">
        <f aca="false">IF(AND($D74="",$E74=""),"",$G$2+SUMIF($F$3:$F74,"Espèces",$D$3:$D74)-SUMIF($F$3:$F74,"Espèces",$E$3:$E74))</f>
        <v/>
      </c>
      <c r="H74" s="7" t="str">
        <f aca="false">IF(AND($D74="",$E74=""),"",$H$2+SUMIF($F$3:$F74,"Mobile Money",$D$3:$D74)-SUMIF($F$3:$F74,"Mobile Money",$E$3:$E74))</f>
        <v/>
      </c>
    </row>
    <row r="75" customFormat="false" ht="15" hidden="false" customHeight="false" outlineLevel="0" collapsed="false">
      <c r="A75" s="2"/>
      <c r="B75" s="4"/>
      <c r="C75" s="4"/>
      <c r="D75" s="5"/>
      <c r="E75" s="5"/>
      <c r="F75" s="4"/>
      <c r="G75" s="7" t="str">
        <f aca="false">IF(AND($D75="",$E75=""),"",$G$2+SUMIF($F$3:$F75,"Espèces",$D$3:$D75)-SUMIF($F$3:$F75,"Espèces",$E$3:$E75))</f>
        <v/>
      </c>
      <c r="H75" s="7" t="str">
        <f aca="false">IF(AND($D75="",$E75=""),"",$H$2+SUMIF($F$3:$F75,"Mobile Money",$D$3:$D75)-SUMIF($F$3:$F75,"Mobile Money",$E$3:$E75))</f>
        <v/>
      </c>
    </row>
    <row r="76" customFormat="false" ht="15" hidden="false" customHeight="false" outlineLevel="0" collapsed="false">
      <c r="A76" s="2"/>
      <c r="B76" s="4"/>
      <c r="C76" s="4"/>
      <c r="D76" s="5"/>
      <c r="E76" s="5"/>
      <c r="F76" s="4"/>
      <c r="G76" s="7" t="str">
        <f aca="false">IF(AND($D76="",$E76=""),"",$G$2+SUMIF($F$3:$F76,"Espèces",$D$3:$D76)-SUMIF($F$3:$F76,"Espèces",$E$3:$E76))</f>
        <v/>
      </c>
      <c r="H76" s="7" t="str">
        <f aca="false">IF(AND($D76="",$E76=""),"",$H$2+SUMIF($F$3:$F76,"Mobile Money",$D$3:$D76)-SUMIF($F$3:$F76,"Mobile Money",$E$3:$E76))</f>
        <v/>
      </c>
    </row>
    <row r="77" customFormat="false" ht="15" hidden="false" customHeight="false" outlineLevel="0" collapsed="false">
      <c r="A77" s="2"/>
      <c r="B77" s="4"/>
      <c r="C77" s="4"/>
      <c r="D77" s="5"/>
      <c r="E77" s="5"/>
      <c r="F77" s="4"/>
      <c r="G77" s="7" t="str">
        <f aca="false">IF(AND($D77="",$E77=""),"",$G$2+SUMIF($F$3:$F77,"Espèces",$D$3:$D77)-SUMIF($F$3:$F77,"Espèces",$E$3:$E77))</f>
        <v/>
      </c>
      <c r="H77" s="7" t="str">
        <f aca="false">IF(AND($D77="",$E77=""),"",$H$2+SUMIF($F$3:$F77,"Mobile Money",$D$3:$D77)-SUMIF($F$3:$F77,"Mobile Money",$E$3:$E77))</f>
        <v/>
      </c>
    </row>
    <row r="78" customFormat="false" ht="15" hidden="false" customHeight="false" outlineLevel="0" collapsed="false">
      <c r="A78" s="2"/>
      <c r="B78" s="4"/>
      <c r="C78" s="4"/>
      <c r="D78" s="5"/>
      <c r="E78" s="5"/>
      <c r="F78" s="4"/>
      <c r="G78" s="7" t="str">
        <f aca="false">IF(AND($D78="",$E78=""),"",$G$2+SUMIF($F$3:$F78,"Espèces",$D$3:$D78)-SUMIF($F$3:$F78,"Espèces",$E$3:$E78))</f>
        <v/>
      </c>
      <c r="H78" s="7" t="str">
        <f aca="false">IF(AND($D78="",$E78=""),"",$H$2+SUMIF($F$3:$F78,"Mobile Money",$D$3:$D78)-SUMIF($F$3:$F78,"Mobile Money",$E$3:$E78))</f>
        <v/>
      </c>
    </row>
    <row r="79" customFormat="false" ht="15" hidden="false" customHeight="false" outlineLevel="0" collapsed="false">
      <c r="A79" s="2"/>
      <c r="B79" s="4"/>
      <c r="C79" s="4"/>
      <c r="D79" s="5"/>
      <c r="E79" s="5"/>
      <c r="F79" s="4"/>
      <c r="G79" s="7" t="str">
        <f aca="false">IF(AND($D79="",$E79=""),"",$G$2+SUMIF($F$3:$F79,"Espèces",$D$3:$D79)-SUMIF($F$3:$F79,"Espèces",$E$3:$E79))</f>
        <v/>
      </c>
      <c r="H79" s="7" t="str">
        <f aca="false">IF(AND($D79="",$E79=""),"",$H$2+SUMIF($F$3:$F79,"Mobile Money",$D$3:$D79)-SUMIF($F$3:$F79,"Mobile Money",$E$3:$E79))</f>
        <v/>
      </c>
    </row>
    <row r="80" customFormat="false" ht="15" hidden="false" customHeight="false" outlineLevel="0" collapsed="false">
      <c r="A80" s="2"/>
      <c r="B80" s="4"/>
      <c r="C80" s="4"/>
      <c r="D80" s="5"/>
      <c r="E80" s="5"/>
      <c r="F80" s="4"/>
      <c r="G80" s="7" t="str">
        <f aca="false">IF(AND($D80="",$E80=""),"",$G$2+SUMIF($F$3:$F80,"Espèces",$D$3:$D80)-SUMIF($F$3:$F80,"Espèces",$E$3:$E80))</f>
        <v/>
      </c>
      <c r="H80" s="7" t="str">
        <f aca="false">IF(AND($D80="",$E80=""),"",$H$2+SUMIF($F$3:$F80,"Mobile Money",$D$3:$D80)-SUMIF($F$3:$F80,"Mobile Money",$E$3:$E80))</f>
        <v/>
      </c>
    </row>
    <row r="81" customFormat="false" ht="15" hidden="false" customHeight="false" outlineLevel="0" collapsed="false">
      <c r="A81" s="2"/>
      <c r="B81" s="4"/>
      <c r="C81" s="4"/>
      <c r="D81" s="5"/>
      <c r="E81" s="5"/>
      <c r="F81" s="4"/>
      <c r="G81" s="7" t="str">
        <f aca="false">IF(AND($D81="",$E81=""),"",$G$2+SUMIF($F$3:$F81,"Espèces",$D$3:$D81)-SUMIF($F$3:$F81,"Espèces",$E$3:$E81))</f>
        <v/>
      </c>
      <c r="H81" s="7" t="str">
        <f aca="false">IF(AND($D81="",$E81=""),"",$H$2+SUMIF($F$3:$F81,"Mobile Money",$D$3:$D81)-SUMIF($F$3:$F81,"Mobile Money",$E$3:$E81))</f>
        <v/>
      </c>
    </row>
    <row r="82" customFormat="false" ht="15" hidden="false" customHeight="false" outlineLevel="0" collapsed="false">
      <c r="A82" s="2"/>
      <c r="B82" s="4"/>
      <c r="C82" s="4"/>
      <c r="D82" s="5"/>
      <c r="E82" s="5"/>
      <c r="F82" s="4"/>
      <c r="G82" s="7" t="str">
        <f aca="false">IF(AND($D82="",$E82=""),"",$G$2+SUMIF($F$3:$F82,"Espèces",$D$3:$D82)-SUMIF($F$3:$F82,"Espèces",$E$3:$E82))</f>
        <v/>
      </c>
      <c r="H82" s="7" t="str">
        <f aca="false">IF(AND($D82="",$E82=""),"",$H$2+SUMIF($F$3:$F82,"Mobile Money",$D$3:$D82)-SUMIF($F$3:$F82,"Mobile Money",$E$3:$E82))</f>
        <v/>
      </c>
    </row>
    <row r="83" customFormat="false" ht="15" hidden="false" customHeight="false" outlineLevel="0" collapsed="false">
      <c r="A83" s="2"/>
      <c r="B83" s="4"/>
      <c r="C83" s="4"/>
      <c r="D83" s="5"/>
      <c r="E83" s="5"/>
      <c r="F83" s="4"/>
      <c r="G83" s="7" t="str">
        <f aca="false">IF(AND($D83="",$E83=""),"",$G$2+SUMIF($F$3:$F83,"Espèces",$D$3:$D83)-SUMIF($F$3:$F83,"Espèces",$E$3:$E83))</f>
        <v/>
      </c>
      <c r="H83" s="7" t="str">
        <f aca="false">IF(AND($D83="",$E83=""),"",$H$2+SUMIF($F$3:$F83,"Mobile Money",$D$3:$D83)-SUMIF($F$3:$F83,"Mobile Money",$E$3:$E83))</f>
        <v/>
      </c>
    </row>
    <row r="84" customFormat="false" ht="15" hidden="false" customHeight="false" outlineLevel="0" collapsed="false">
      <c r="A84" s="2"/>
      <c r="B84" s="4"/>
      <c r="C84" s="4"/>
      <c r="D84" s="5"/>
      <c r="E84" s="5"/>
      <c r="F84" s="4"/>
      <c r="G84" s="7" t="str">
        <f aca="false">IF(AND($D84="",$E84=""),"",$G$2+SUMIF($F$3:$F84,"Espèces",$D$3:$D84)-SUMIF($F$3:$F84,"Espèces",$E$3:$E84))</f>
        <v/>
      </c>
      <c r="H84" s="7" t="str">
        <f aca="false">IF(AND($D84="",$E84=""),"",$H$2+SUMIF($F$3:$F84,"Mobile Money",$D$3:$D84)-SUMIF($F$3:$F84,"Mobile Money",$E$3:$E84))</f>
        <v/>
      </c>
    </row>
    <row r="85" customFormat="false" ht="15" hidden="false" customHeight="false" outlineLevel="0" collapsed="false">
      <c r="A85" s="2"/>
      <c r="B85" s="4"/>
      <c r="C85" s="4"/>
      <c r="D85" s="5"/>
      <c r="E85" s="5"/>
      <c r="F85" s="4"/>
      <c r="G85" s="7" t="str">
        <f aca="false">IF(AND($D85="",$E85=""),"",$G$2+SUMIF($F$3:$F85,"Espèces",$D$3:$D85)-SUMIF($F$3:$F85,"Espèces",$E$3:$E85))</f>
        <v/>
      </c>
      <c r="H85" s="7" t="str">
        <f aca="false">IF(AND($D85="",$E85=""),"",$H$2+SUMIF($F$3:$F85,"Mobile Money",$D$3:$D85)-SUMIF($F$3:$F85,"Mobile Money",$E$3:$E85))</f>
        <v/>
      </c>
    </row>
    <row r="86" customFormat="false" ht="15" hidden="false" customHeight="false" outlineLevel="0" collapsed="false">
      <c r="A86" s="2"/>
      <c r="B86" s="4"/>
      <c r="C86" s="4"/>
      <c r="D86" s="5"/>
      <c r="E86" s="5"/>
      <c r="F86" s="4"/>
      <c r="G86" s="7" t="str">
        <f aca="false">IF(AND($D86="",$E86=""),"",$G$2+SUMIF($F$3:$F86,"Espèces",$D$3:$D86)-SUMIF($F$3:$F86,"Espèces",$E$3:$E86))</f>
        <v/>
      </c>
      <c r="H86" s="7" t="str">
        <f aca="false">IF(AND($D86="",$E86=""),"",$H$2+SUMIF($F$3:$F86,"Mobile Money",$D$3:$D86)-SUMIF($F$3:$F86,"Mobile Money",$E$3:$E86))</f>
        <v/>
      </c>
    </row>
    <row r="87" customFormat="false" ht="15" hidden="false" customHeight="false" outlineLevel="0" collapsed="false">
      <c r="A87" s="2"/>
      <c r="B87" s="4"/>
      <c r="C87" s="4"/>
      <c r="D87" s="5"/>
      <c r="E87" s="5"/>
      <c r="F87" s="4"/>
      <c r="G87" s="7" t="str">
        <f aca="false">IF(AND($D87="",$E87=""),"",$G$2+SUMIF($F$3:$F87,"Espèces",$D$3:$D87)-SUMIF($F$3:$F87,"Espèces",$E$3:$E87))</f>
        <v/>
      </c>
      <c r="H87" s="7" t="str">
        <f aca="false">IF(AND($D87="",$E87=""),"",$H$2+SUMIF($F$3:$F87,"Mobile Money",$D$3:$D87)-SUMIF($F$3:$F87,"Mobile Money",$E$3:$E87))</f>
        <v/>
      </c>
    </row>
    <row r="88" customFormat="false" ht="15" hidden="false" customHeight="false" outlineLevel="0" collapsed="false">
      <c r="A88" s="2"/>
      <c r="B88" s="4"/>
      <c r="C88" s="4"/>
      <c r="D88" s="5"/>
      <c r="E88" s="5"/>
      <c r="F88" s="4"/>
      <c r="G88" s="7" t="str">
        <f aca="false">IF(AND($D88="",$E88=""),"",$G$2+SUMIF($F$3:$F88,"Espèces",$D$3:$D88)-SUMIF($F$3:$F88,"Espèces",$E$3:$E88))</f>
        <v/>
      </c>
      <c r="H88" s="7" t="str">
        <f aca="false">IF(AND($D88="",$E88=""),"",$H$2+SUMIF($F$3:$F88,"Mobile Money",$D$3:$D88)-SUMIF($F$3:$F88,"Mobile Money",$E$3:$E88))</f>
        <v/>
      </c>
    </row>
    <row r="89" customFormat="false" ht="15" hidden="false" customHeight="false" outlineLevel="0" collapsed="false">
      <c r="A89" s="2"/>
      <c r="B89" s="4"/>
      <c r="C89" s="4"/>
      <c r="D89" s="5"/>
      <c r="E89" s="5"/>
      <c r="F89" s="4"/>
      <c r="G89" s="7" t="str">
        <f aca="false">IF(AND($D89="",$E89=""),"",$G$2+SUMIF($F$3:$F89,"Espèces",$D$3:$D89)-SUMIF($F$3:$F89,"Espèces",$E$3:$E89))</f>
        <v/>
      </c>
      <c r="H89" s="7" t="str">
        <f aca="false">IF(AND($D89="",$E89=""),"",$H$2+SUMIF($F$3:$F89,"Mobile Money",$D$3:$D89)-SUMIF($F$3:$F89,"Mobile Money",$E$3:$E89))</f>
        <v/>
      </c>
    </row>
    <row r="90" customFormat="false" ht="15" hidden="false" customHeight="false" outlineLevel="0" collapsed="false">
      <c r="A90" s="2"/>
      <c r="B90" s="4"/>
      <c r="C90" s="4"/>
      <c r="D90" s="5"/>
      <c r="E90" s="5"/>
      <c r="F90" s="4"/>
      <c r="G90" s="7" t="str">
        <f aca="false">IF(AND($D90="",$E90=""),"",$G$2+SUMIF($F$3:$F90,"Espèces",$D$3:$D90)-SUMIF($F$3:$F90,"Espèces",$E$3:$E90))</f>
        <v/>
      </c>
      <c r="H90" s="7" t="str">
        <f aca="false">IF(AND($D90="",$E90=""),"",$H$2+SUMIF($F$3:$F90,"Mobile Money",$D$3:$D90)-SUMIF($F$3:$F90,"Mobile Money",$E$3:$E90))</f>
        <v/>
      </c>
    </row>
    <row r="91" customFormat="false" ht="15" hidden="false" customHeight="false" outlineLevel="0" collapsed="false">
      <c r="A91" s="2"/>
      <c r="B91" s="4"/>
      <c r="C91" s="4"/>
      <c r="D91" s="5"/>
      <c r="E91" s="5"/>
      <c r="F91" s="4"/>
      <c r="G91" s="7" t="str">
        <f aca="false">IF(AND($D91="",$E91=""),"",$G$2+SUMIF($F$3:$F91,"Espèces",$D$3:$D91)-SUMIF($F$3:$F91,"Espèces",$E$3:$E91))</f>
        <v/>
      </c>
      <c r="H91" s="7" t="str">
        <f aca="false">IF(AND($D91="",$E91=""),"",$H$2+SUMIF($F$3:$F91,"Mobile Money",$D$3:$D91)-SUMIF($F$3:$F91,"Mobile Money",$E$3:$E91))</f>
        <v/>
      </c>
    </row>
    <row r="92" customFormat="false" ht="15" hidden="false" customHeight="false" outlineLevel="0" collapsed="false">
      <c r="A92" s="2"/>
      <c r="B92" s="4"/>
      <c r="C92" s="4"/>
      <c r="D92" s="5"/>
      <c r="E92" s="5"/>
      <c r="F92" s="4"/>
      <c r="G92" s="7" t="str">
        <f aca="false">IF(AND($D92="",$E92=""),"",$G$2+SUMIF($F$3:$F92,"Espèces",$D$3:$D92)-SUMIF($F$3:$F92,"Espèces",$E$3:$E92))</f>
        <v/>
      </c>
      <c r="H92" s="7" t="str">
        <f aca="false">IF(AND($D92="",$E92=""),"",$H$2+SUMIF($F$3:$F92,"Mobile Money",$D$3:$D92)-SUMIF($F$3:$F92,"Mobile Money",$E$3:$E92))</f>
        <v/>
      </c>
    </row>
    <row r="93" customFormat="false" ht="15" hidden="false" customHeight="false" outlineLevel="0" collapsed="false">
      <c r="A93" s="2"/>
      <c r="B93" s="4"/>
      <c r="C93" s="4"/>
      <c r="D93" s="5"/>
      <c r="E93" s="5"/>
      <c r="F93" s="4"/>
      <c r="G93" s="7" t="str">
        <f aca="false">IF(AND($D93="",$E93=""),"",$G$2+SUMIF($F$3:$F93,"Espèces",$D$3:$D93)-SUMIF($F$3:$F93,"Espèces",$E$3:$E93))</f>
        <v/>
      </c>
      <c r="H93" s="7" t="str">
        <f aca="false">IF(AND($D93="",$E93=""),"",$H$2+SUMIF($F$3:$F93,"Mobile Money",$D$3:$D93)-SUMIF($F$3:$F93,"Mobile Money",$E$3:$E93))</f>
        <v/>
      </c>
    </row>
    <row r="94" customFormat="false" ht="15" hidden="false" customHeight="false" outlineLevel="0" collapsed="false">
      <c r="A94" s="2"/>
      <c r="B94" s="4"/>
      <c r="C94" s="4"/>
      <c r="D94" s="5"/>
      <c r="E94" s="5"/>
      <c r="F94" s="4"/>
      <c r="G94" s="7" t="str">
        <f aca="false">IF(AND($D94="",$E94=""),"",$G$2+SUMIF($F$3:$F94,"Espèces",$D$3:$D94)-SUMIF($F$3:$F94,"Espèces",$E$3:$E94))</f>
        <v/>
      </c>
      <c r="H94" s="7" t="str">
        <f aca="false">IF(AND($D94="",$E94=""),"",$H$2+SUMIF($F$3:$F94,"Mobile Money",$D$3:$D94)-SUMIF($F$3:$F94,"Mobile Money",$E$3:$E94))</f>
        <v/>
      </c>
    </row>
    <row r="95" customFormat="false" ht="15" hidden="false" customHeight="false" outlineLevel="0" collapsed="false">
      <c r="A95" s="2"/>
      <c r="B95" s="4"/>
      <c r="C95" s="4"/>
      <c r="D95" s="5"/>
      <c r="E95" s="5"/>
      <c r="F95" s="4"/>
      <c r="G95" s="7" t="str">
        <f aca="false">IF(AND($D95="",$E95=""),"",$G$2+SUMIF($F$3:$F95,"Espèces",$D$3:$D95)-SUMIF($F$3:$F95,"Espèces",$E$3:$E95))</f>
        <v/>
      </c>
      <c r="H95" s="7" t="str">
        <f aca="false">IF(AND($D95="",$E95=""),"",$H$2+SUMIF($F$3:$F95,"Mobile Money",$D$3:$D95)-SUMIF($F$3:$F95,"Mobile Money",$E$3:$E95))</f>
        <v/>
      </c>
    </row>
    <row r="96" customFormat="false" ht="15" hidden="false" customHeight="false" outlineLevel="0" collapsed="false">
      <c r="A96" s="2"/>
      <c r="B96" s="4"/>
      <c r="C96" s="4"/>
      <c r="D96" s="5"/>
      <c r="E96" s="5"/>
      <c r="F96" s="4"/>
      <c r="G96" s="7" t="str">
        <f aca="false">IF(AND($D96="",$E96=""),"",$G$2+SUMIF($F$3:$F96,"Espèces",$D$3:$D96)-SUMIF($F$3:$F96,"Espèces",$E$3:$E96))</f>
        <v/>
      </c>
      <c r="H96" s="7" t="str">
        <f aca="false">IF(AND($D96="",$E96=""),"",$H$2+SUMIF($F$3:$F96,"Mobile Money",$D$3:$D96)-SUMIF($F$3:$F96,"Mobile Money",$E$3:$E96))</f>
        <v/>
      </c>
    </row>
    <row r="97" customFormat="false" ht="15" hidden="false" customHeight="false" outlineLevel="0" collapsed="false">
      <c r="A97" s="2"/>
      <c r="B97" s="4"/>
      <c r="C97" s="4"/>
      <c r="D97" s="5"/>
      <c r="E97" s="5"/>
      <c r="F97" s="4"/>
      <c r="G97" s="7" t="str">
        <f aca="false">IF(AND($D97="",$E97=""),"",$G$2+SUMIF($F$3:$F97,"Espèces",$D$3:$D97)-SUMIF($F$3:$F97,"Espèces",$E$3:$E97))</f>
        <v/>
      </c>
      <c r="H97" s="7" t="str">
        <f aca="false">IF(AND($D97="",$E97=""),"",$H$2+SUMIF($F$3:$F97,"Mobile Money",$D$3:$D97)-SUMIF($F$3:$F97,"Mobile Money",$E$3:$E97))</f>
        <v/>
      </c>
    </row>
    <row r="98" customFormat="false" ht="15" hidden="false" customHeight="false" outlineLevel="0" collapsed="false">
      <c r="A98" s="2"/>
      <c r="B98" s="4"/>
      <c r="C98" s="4"/>
      <c r="D98" s="5"/>
      <c r="E98" s="5"/>
      <c r="F98" s="4"/>
      <c r="G98" s="7" t="str">
        <f aca="false">IF(AND($D98="",$E98=""),"",$G$2+SUMIF($F$3:$F98,"Espèces",$D$3:$D98)-SUMIF($F$3:$F98,"Espèces",$E$3:$E98))</f>
        <v/>
      </c>
      <c r="H98" s="7" t="str">
        <f aca="false">IF(AND($D98="",$E98=""),"",$H$2+SUMIF($F$3:$F98,"Mobile Money",$D$3:$D98)-SUMIF($F$3:$F98,"Mobile Money",$E$3:$E98))</f>
        <v/>
      </c>
    </row>
    <row r="99" customFormat="false" ht="15" hidden="false" customHeight="false" outlineLevel="0" collapsed="false">
      <c r="A99" s="2"/>
      <c r="B99" s="4"/>
      <c r="C99" s="4"/>
      <c r="D99" s="5"/>
      <c r="E99" s="5"/>
      <c r="F99" s="4"/>
      <c r="G99" s="7" t="str">
        <f aca="false">IF(AND($D99="",$E99=""),"",$G$2+SUMIF($F$3:$F99,"Espèces",$D$3:$D99)-SUMIF($F$3:$F99,"Espèces",$E$3:$E99))</f>
        <v/>
      </c>
      <c r="H99" s="7" t="str">
        <f aca="false">IF(AND($D99="",$E99=""),"",$H$2+SUMIF($F$3:$F99,"Mobile Money",$D$3:$D99)-SUMIF($F$3:$F99,"Mobile Money",$E$3:$E99))</f>
        <v/>
      </c>
    </row>
    <row r="100" customFormat="false" ht="15" hidden="false" customHeight="false" outlineLevel="0" collapsed="false">
      <c r="A100" s="2"/>
      <c r="B100" s="4"/>
      <c r="C100" s="4"/>
      <c r="D100" s="5"/>
      <c r="E100" s="5"/>
      <c r="F100" s="4"/>
      <c r="G100" s="7" t="str">
        <f aca="false">IF(AND($D100="",$E100=""),"",$G$2+SUMIF($F$3:$F100,"Espèces",$D$3:$D100)-SUMIF($F$3:$F100,"Espèces",$E$3:$E100))</f>
        <v/>
      </c>
      <c r="H100" s="7" t="str">
        <f aca="false">IF(AND($D100="",$E100=""),"",$H$2+SUMIF($F$3:$F100,"Mobile Money",$D$3:$D100)-SUMIF($F$3:$F100,"Mobile Money",$E$3:$E100))</f>
        <v/>
      </c>
    </row>
    <row r="101" customFormat="false" ht="15" hidden="false" customHeight="false" outlineLevel="0" collapsed="false">
      <c r="A101" s="2"/>
      <c r="B101" s="4"/>
      <c r="C101" s="4"/>
      <c r="D101" s="5"/>
      <c r="E101" s="5"/>
      <c r="F101" s="4"/>
      <c r="G101" s="7" t="str">
        <f aca="false">IF(AND($D101="",$E101=""),"",$G$2+SUMIF($F$3:$F101,"Espèces",$D$3:$D101)-SUMIF($F$3:$F101,"Espèces",$E$3:$E101))</f>
        <v/>
      </c>
      <c r="H101" s="7" t="str">
        <f aca="false">IF(AND($D101="",$E101=""),"",$H$2+SUMIF($F$3:$F101,"Mobile Money",$D$3:$D101)-SUMIF($F$3:$F101,"Mobile Money",$E$3:$E101))</f>
        <v/>
      </c>
    </row>
    <row r="102" customFormat="false" ht="15" hidden="false" customHeight="false" outlineLevel="0" collapsed="false">
      <c r="A102" s="2"/>
      <c r="B102" s="4"/>
      <c r="C102" s="4"/>
      <c r="D102" s="5"/>
      <c r="E102" s="5"/>
      <c r="F102" s="4"/>
      <c r="G102" s="7" t="str">
        <f aca="false">IF(AND($D102="",$E102=""),"",$G$2+SUMIF($F$3:$F102,"Espèces",$D$3:$D102)-SUMIF($F$3:$F102,"Espèces",$E$3:$E102))</f>
        <v/>
      </c>
      <c r="H102" s="7" t="str">
        <f aca="false">IF(AND($D102="",$E102=""),"",$H$2+SUMIF($F$3:$F102,"Mobile Money",$D$3:$D102)-SUMIF($F$3:$F102,"Mobile Money",$E$3:$E102))</f>
        <v/>
      </c>
    </row>
    <row r="103" customFormat="false" ht="15" hidden="false" customHeight="false" outlineLevel="0" collapsed="false">
      <c r="A103" s="2"/>
      <c r="B103" s="4"/>
      <c r="C103" s="4"/>
      <c r="D103" s="5"/>
      <c r="E103" s="5"/>
      <c r="F103" s="4"/>
      <c r="G103" s="7" t="str">
        <f aca="false">IF(AND($D103="",$E103=""),"",$G$2+SUMIF($F$3:$F103,"Espèces",$D$3:$D103)-SUMIF($F$3:$F103,"Espèces",$E$3:$E103))</f>
        <v/>
      </c>
      <c r="H103" s="7" t="str">
        <f aca="false">IF(AND($D103="",$E103=""),"",$H$2+SUMIF($F$3:$F103,"Mobile Money",$D$3:$D103)-SUMIF($F$3:$F103,"Mobile Money",$E$3:$E103))</f>
        <v/>
      </c>
    </row>
    <row r="104" customFormat="false" ht="15" hidden="false" customHeight="false" outlineLevel="0" collapsed="false">
      <c r="A104" s="2"/>
      <c r="B104" s="4"/>
      <c r="C104" s="4"/>
      <c r="D104" s="5"/>
      <c r="E104" s="5"/>
      <c r="F104" s="4"/>
      <c r="G104" s="7" t="str">
        <f aca="false">IF(AND($D104="",$E104=""),"",$G$2+SUMIF($F$3:$F104,"Espèces",$D$3:$D104)-SUMIF($F$3:$F104,"Espèces",$E$3:$E104))</f>
        <v/>
      </c>
      <c r="H104" s="7" t="str">
        <f aca="false">IF(AND($D104="",$E104=""),"",$H$2+SUMIF($F$3:$F104,"Mobile Money",$D$3:$D104)-SUMIF($F$3:$F104,"Mobile Money",$E$3:$E104))</f>
        <v/>
      </c>
    </row>
    <row r="105" customFormat="false" ht="15" hidden="false" customHeight="false" outlineLevel="0" collapsed="false">
      <c r="A105" s="2"/>
      <c r="B105" s="4"/>
      <c r="C105" s="4"/>
      <c r="D105" s="5"/>
      <c r="E105" s="5"/>
      <c r="F105" s="4"/>
      <c r="G105" s="7" t="str">
        <f aca="false">IF(AND($D105="",$E105=""),"",$G$2+SUMIF($F$3:$F105,"Espèces",$D$3:$D105)-SUMIF($F$3:$F105,"Espèces",$E$3:$E105))</f>
        <v/>
      </c>
      <c r="H105" s="7" t="str">
        <f aca="false">IF(AND($D105="",$E105=""),"",$H$2+SUMIF($F$3:$F105,"Mobile Money",$D$3:$D105)-SUMIF($F$3:$F105,"Mobile Money",$E$3:$E105))</f>
        <v/>
      </c>
    </row>
    <row r="106" customFormat="false" ht="15" hidden="false" customHeight="false" outlineLevel="0" collapsed="false">
      <c r="A106" s="2"/>
      <c r="B106" s="4"/>
      <c r="C106" s="4"/>
      <c r="D106" s="5"/>
      <c r="E106" s="5"/>
      <c r="F106" s="4"/>
      <c r="G106" s="7" t="str">
        <f aca="false">IF(AND($D106="",$E106=""),"",$G$2+SUMIF($F$3:$F106,"Espèces",$D$3:$D106)-SUMIF($F$3:$F106,"Espèces",$E$3:$E106))</f>
        <v/>
      </c>
      <c r="H106" s="7" t="str">
        <f aca="false">IF(AND($D106="",$E106=""),"",$H$2+SUMIF($F$3:$F106,"Mobile Money",$D$3:$D106)-SUMIF($F$3:$F106,"Mobile Money",$E$3:$E106))</f>
        <v/>
      </c>
    </row>
    <row r="107" customFormat="false" ht="15" hidden="false" customHeight="false" outlineLevel="0" collapsed="false">
      <c r="A107" s="2"/>
      <c r="B107" s="4"/>
      <c r="C107" s="4"/>
      <c r="D107" s="5"/>
      <c r="E107" s="5"/>
      <c r="F107" s="4"/>
      <c r="G107" s="7" t="str">
        <f aca="false">IF(AND($D107="",$E107=""),"",$G$2+SUMIF($F$3:$F107,"Espèces",$D$3:$D107)-SUMIF($F$3:$F107,"Espèces",$E$3:$E107))</f>
        <v/>
      </c>
      <c r="H107" s="7" t="str">
        <f aca="false">IF(AND($D107="",$E107=""),"",$H$2+SUMIF($F$3:$F107,"Mobile Money",$D$3:$D107)-SUMIF($F$3:$F107,"Mobile Money",$E$3:$E107))</f>
        <v/>
      </c>
    </row>
    <row r="108" customFormat="false" ht="15" hidden="false" customHeight="false" outlineLevel="0" collapsed="false">
      <c r="A108" s="2"/>
      <c r="B108" s="4"/>
      <c r="C108" s="4"/>
      <c r="D108" s="5"/>
      <c r="E108" s="5"/>
      <c r="F108" s="4"/>
      <c r="G108" s="7" t="str">
        <f aca="false">IF(AND($D108="",$E108=""),"",$G$2+SUMIF($F$3:$F108,"Espèces",$D$3:$D108)-SUMIF($F$3:$F108,"Espèces",$E$3:$E108))</f>
        <v/>
      </c>
      <c r="H108" s="7" t="str">
        <f aca="false">IF(AND($D108="",$E108=""),"",$H$2+SUMIF($F$3:$F108,"Mobile Money",$D$3:$D108)-SUMIF($F$3:$F108,"Mobile Money",$E$3:$E108))</f>
        <v/>
      </c>
    </row>
    <row r="109" customFormat="false" ht="15" hidden="false" customHeight="false" outlineLevel="0" collapsed="false">
      <c r="A109" s="2"/>
      <c r="B109" s="4"/>
      <c r="C109" s="4"/>
      <c r="D109" s="5"/>
      <c r="E109" s="5"/>
      <c r="F109" s="4"/>
      <c r="G109" s="7" t="str">
        <f aca="false">IF(AND($D109="",$E109=""),"",$G$2+SUMIF($F$3:$F109,"Espèces",$D$3:$D109)-SUMIF($F$3:$F109,"Espèces",$E$3:$E109))</f>
        <v/>
      </c>
      <c r="H109" s="7" t="str">
        <f aca="false">IF(AND($D109="",$E109=""),"",$H$2+SUMIF($F$3:$F109,"Mobile Money",$D$3:$D109)-SUMIF($F$3:$F109,"Mobile Money",$E$3:$E109))</f>
        <v/>
      </c>
    </row>
    <row r="110" customFormat="false" ht="15" hidden="false" customHeight="false" outlineLevel="0" collapsed="false">
      <c r="A110" s="2"/>
      <c r="B110" s="4"/>
      <c r="C110" s="4"/>
      <c r="D110" s="5"/>
      <c r="E110" s="5"/>
      <c r="F110" s="4"/>
      <c r="G110" s="7" t="str">
        <f aca="false">IF(AND($D110="",$E110=""),"",$G$2+SUMIF($F$3:$F110,"Espèces",$D$3:$D110)-SUMIF($F$3:$F110,"Espèces",$E$3:$E110))</f>
        <v/>
      </c>
      <c r="H110" s="7" t="str">
        <f aca="false">IF(AND($D110="",$E110=""),"",$H$2+SUMIF($F$3:$F110,"Mobile Money",$D$3:$D110)-SUMIF($F$3:$F110,"Mobile Money",$E$3:$E110))</f>
        <v/>
      </c>
    </row>
    <row r="111" customFormat="false" ht="15" hidden="false" customHeight="false" outlineLevel="0" collapsed="false">
      <c r="A111" s="2"/>
      <c r="B111" s="4"/>
      <c r="C111" s="4"/>
      <c r="D111" s="5"/>
      <c r="E111" s="5"/>
      <c r="F111" s="4"/>
      <c r="G111" s="7" t="str">
        <f aca="false">IF(AND($D111="",$E111=""),"",$G$2+SUMIF($F$3:$F111,"Espèces",$D$3:$D111)-SUMIF($F$3:$F111,"Espèces",$E$3:$E111))</f>
        <v/>
      </c>
      <c r="H111" s="7" t="str">
        <f aca="false">IF(AND($D111="",$E111=""),"",$H$2+SUMIF($F$3:$F111,"Mobile Money",$D$3:$D111)-SUMIF($F$3:$F111,"Mobile Money",$E$3:$E111))</f>
        <v/>
      </c>
    </row>
    <row r="112" customFormat="false" ht="15" hidden="false" customHeight="false" outlineLevel="0" collapsed="false">
      <c r="A112" s="2"/>
      <c r="B112" s="4"/>
      <c r="C112" s="4"/>
      <c r="D112" s="5"/>
      <c r="E112" s="5"/>
      <c r="F112" s="4"/>
      <c r="G112" s="7" t="str">
        <f aca="false">IF(AND($D112="",$E112=""),"",$G$2+SUMIF($F$3:$F112,"Espèces",$D$3:$D112)-SUMIF($F$3:$F112,"Espèces",$E$3:$E112))</f>
        <v/>
      </c>
      <c r="H112" s="7" t="str">
        <f aca="false">IF(AND($D112="",$E112=""),"",$H$2+SUMIF($F$3:$F112,"Mobile Money",$D$3:$D112)-SUMIF($F$3:$F112,"Mobile Money",$E$3:$E112))</f>
        <v/>
      </c>
    </row>
    <row r="113" customFormat="false" ht="15" hidden="false" customHeight="false" outlineLevel="0" collapsed="false">
      <c r="A113" s="2"/>
      <c r="B113" s="4"/>
      <c r="C113" s="4"/>
      <c r="D113" s="5"/>
      <c r="E113" s="5"/>
      <c r="F113" s="4"/>
      <c r="G113" s="7" t="str">
        <f aca="false">IF(AND($D113="",$E113=""),"",$G$2+SUMIF($F$3:$F113,"Espèces",$D$3:$D113)-SUMIF($F$3:$F113,"Espèces",$E$3:$E113))</f>
        <v/>
      </c>
      <c r="H113" s="7" t="str">
        <f aca="false">IF(AND($D113="",$E113=""),"",$H$2+SUMIF($F$3:$F113,"Mobile Money",$D$3:$D113)-SUMIF($F$3:$F113,"Mobile Money",$E$3:$E113))</f>
        <v/>
      </c>
    </row>
    <row r="114" customFormat="false" ht="15" hidden="false" customHeight="false" outlineLevel="0" collapsed="false">
      <c r="A114" s="2"/>
      <c r="B114" s="4"/>
      <c r="C114" s="4"/>
      <c r="D114" s="5"/>
      <c r="E114" s="5"/>
      <c r="F114" s="4"/>
      <c r="G114" s="7" t="str">
        <f aca="false">IF(AND($D114="",$E114=""),"",$G$2+SUMIF($F$3:$F114,"Espèces",$D$3:$D114)-SUMIF($F$3:$F114,"Espèces",$E$3:$E114))</f>
        <v/>
      </c>
      <c r="H114" s="7" t="str">
        <f aca="false">IF(AND($D114="",$E114=""),"",$H$2+SUMIF($F$3:$F114,"Mobile Money",$D$3:$D114)-SUMIF($F$3:$F114,"Mobile Money",$E$3:$E114))</f>
        <v/>
      </c>
    </row>
    <row r="115" customFormat="false" ht="15" hidden="false" customHeight="false" outlineLevel="0" collapsed="false">
      <c r="A115" s="2"/>
      <c r="B115" s="4"/>
      <c r="C115" s="4"/>
      <c r="D115" s="5"/>
      <c r="E115" s="5"/>
      <c r="F115" s="4"/>
      <c r="G115" s="7" t="str">
        <f aca="false">IF(AND($D115="",$E115=""),"",$G$2+SUMIF($F$3:$F115,"Espèces",$D$3:$D115)-SUMIF($F$3:$F115,"Espèces",$E$3:$E115))</f>
        <v/>
      </c>
      <c r="H115" s="7" t="str">
        <f aca="false">IF(AND($D115="",$E115=""),"",$H$2+SUMIF($F$3:$F115,"Mobile Money",$D$3:$D115)-SUMIF($F$3:$F115,"Mobile Money",$E$3:$E115))</f>
        <v/>
      </c>
    </row>
    <row r="116" customFormat="false" ht="15" hidden="false" customHeight="false" outlineLevel="0" collapsed="false">
      <c r="A116" s="2"/>
      <c r="B116" s="4"/>
      <c r="C116" s="4"/>
      <c r="D116" s="5"/>
      <c r="E116" s="5"/>
      <c r="F116" s="4"/>
      <c r="G116" s="7" t="str">
        <f aca="false">IF(AND($D116="",$E116=""),"",$G$2+SUMIF($F$3:$F116,"Espèces",$D$3:$D116)-SUMIF($F$3:$F116,"Espèces",$E$3:$E116))</f>
        <v/>
      </c>
      <c r="H116" s="7" t="str">
        <f aca="false">IF(AND($D116="",$E116=""),"",$H$2+SUMIF($F$3:$F116,"Mobile Money",$D$3:$D116)-SUMIF($F$3:$F116,"Mobile Money",$E$3:$E116))</f>
        <v/>
      </c>
    </row>
    <row r="117" customFormat="false" ht="15" hidden="false" customHeight="false" outlineLevel="0" collapsed="false">
      <c r="A117" s="2"/>
      <c r="B117" s="4"/>
      <c r="C117" s="4"/>
      <c r="D117" s="5"/>
      <c r="E117" s="5"/>
      <c r="F117" s="4"/>
      <c r="G117" s="7" t="str">
        <f aca="false">IF(AND($D117="",$E117=""),"",$G$2+SUMIF($F$3:$F117,"Espèces",$D$3:$D117)-SUMIF($F$3:$F117,"Espèces",$E$3:$E117))</f>
        <v/>
      </c>
      <c r="H117" s="7" t="str">
        <f aca="false">IF(AND($D117="",$E117=""),"",$H$2+SUMIF($F$3:$F117,"Mobile Money",$D$3:$D117)-SUMIF($F$3:$F117,"Mobile Money",$E$3:$E117))</f>
        <v/>
      </c>
    </row>
    <row r="118" customFormat="false" ht="15" hidden="false" customHeight="false" outlineLevel="0" collapsed="false">
      <c r="A118" s="2"/>
      <c r="B118" s="4"/>
      <c r="C118" s="4"/>
      <c r="D118" s="5"/>
      <c r="E118" s="5"/>
      <c r="F118" s="4"/>
      <c r="G118" s="7" t="str">
        <f aca="false">IF(AND($D118="",$E118=""),"",$G$2+SUMIF($F$3:$F118,"Espèces",$D$3:$D118)-SUMIF($F$3:$F118,"Espèces",$E$3:$E118))</f>
        <v/>
      </c>
      <c r="H118" s="7" t="str">
        <f aca="false">IF(AND($D118="",$E118=""),"",$H$2+SUMIF($F$3:$F118,"Mobile Money",$D$3:$D118)-SUMIF($F$3:$F118,"Mobile Money",$E$3:$E118))</f>
        <v/>
      </c>
    </row>
    <row r="119" customFormat="false" ht="15" hidden="false" customHeight="false" outlineLevel="0" collapsed="false">
      <c r="A119" s="2"/>
      <c r="B119" s="4"/>
      <c r="C119" s="4"/>
      <c r="D119" s="5"/>
      <c r="E119" s="5"/>
      <c r="F119" s="4"/>
      <c r="G119" s="7" t="str">
        <f aca="false">IF(AND($D119="",$E119=""),"",$G$2+SUMIF($F$3:$F119,"Espèces",$D$3:$D119)-SUMIF($F$3:$F119,"Espèces",$E$3:$E119))</f>
        <v/>
      </c>
      <c r="H119" s="7" t="str">
        <f aca="false">IF(AND($D119="",$E119=""),"",$H$2+SUMIF($F$3:$F119,"Mobile Money",$D$3:$D119)-SUMIF($F$3:$F119,"Mobile Money",$E$3:$E119))</f>
        <v/>
      </c>
    </row>
    <row r="120" customFormat="false" ht="15" hidden="false" customHeight="false" outlineLevel="0" collapsed="false">
      <c r="A120" s="2"/>
      <c r="B120" s="4"/>
      <c r="C120" s="4"/>
      <c r="D120" s="5"/>
      <c r="E120" s="5"/>
      <c r="F120" s="4"/>
      <c r="G120" s="7" t="str">
        <f aca="false">IF(AND($D120="",$E120=""),"",$G$2+SUMIF($F$3:$F120,"Espèces",$D$3:$D120)-SUMIF($F$3:$F120,"Espèces",$E$3:$E120))</f>
        <v/>
      </c>
      <c r="H120" s="7" t="str">
        <f aca="false">IF(AND($D120="",$E120=""),"",$H$2+SUMIF($F$3:$F120,"Mobile Money",$D$3:$D120)-SUMIF($F$3:$F120,"Mobile Money",$E$3:$E120))</f>
        <v/>
      </c>
    </row>
    <row r="121" customFormat="false" ht="15" hidden="false" customHeight="false" outlineLevel="0" collapsed="false">
      <c r="A121" s="2"/>
      <c r="B121" s="4"/>
      <c r="C121" s="4"/>
      <c r="D121" s="5"/>
      <c r="E121" s="5"/>
      <c r="F121" s="4"/>
      <c r="G121" s="7" t="str">
        <f aca="false">IF(AND($D121="",$E121=""),"",$G$2+SUMIF($F$3:$F121,"Espèces",$D$3:$D121)-SUMIF($F$3:$F121,"Espèces",$E$3:$E121))</f>
        <v/>
      </c>
      <c r="H121" s="7" t="str">
        <f aca="false">IF(AND($D121="",$E121=""),"",$H$2+SUMIF($F$3:$F121,"Mobile Money",$D$3:$D121)-SUMIF($F$3:$F121,"Mobile Money",$E$3:$E121))</f>
        <v/>
      </c>
    </row>
    <row r="122" customFormat="false" ht="15" hidden="false" customHeight="false" outlineLevel="0" collapsed="false">
      <c r="A122" s="2"/>
      <c r="B122" s="4"/>
      <c r="C122" s="4"/>
      <c r="D122" s="5"/>
      <c r="E122" s="5"/>
      <c r="F122" s="4"/>
      <c r="G122" s="7" t="str">
        <f aca="false">IF(AND($D122="",$E122=""),"",$G$2+SUMIF($F$3:$F122,"Espèces",$D$3:$D122)-SUMIF($F$3:$F122,"Espèces",$E$3:$E122))</f>
        <v/>
      </c>
      <c r="H122" s="7" t="str">
        <f aca="false">IF(AND($D122="",$E122=""),"",$H$2+SUMIF($F$3:$F122,"Mobile Money",$D$3:$D122)-SUMIF($F$3:$F122,"Mobile Money",$E$3:$E122))</f>
        <v/>
      </c>
    </row>
    <row r="123" customFormat="false" ht="15" hidden="false" customHeight="false" outlineLevel="0" collapsed="false">
      <c r="A123" s="2"/>
      <c r="B123" s="4"/>
      <c r="C123" s="4"/>
      <c r="D123" s="5"/>
      <c r="E123" s="5"/>
      <c r="F123" s="4"/>
      <c r="G123" s="7" t="str">
        <f aca="false">IF(AND($D123="",$E123=""),"",$G$2+SUMIF($F$3:$F123,"Espèces",$D$3:$D123)-SUMIF($F$3:$F123,"Espèces",$E$3:$E123))</f>
        <v/>
      </c>
      <c r="H123" s="7" t="str">
        <f aca="false">IF(AND($D123="",$E123=""),"",$H$2+SUMIF($F$3:$F123,"Mobile Money",$D$3:$D123)-SUMIF($F$3:$F123,"Mobile Money",$E$3:$E123))</f>
        <v/>
      </c>
    </row>
    <row r="124" customFormat="false" ht="15" hidden="false" customHeight="false" outlineLevel="0" collapsed="false">
      <c r="A124" s="2"/>
      <c r="B124" s="4"/>
      <c r="C124" s="4"/>
      <c r="D124" s="5"/>
      <c r="E124" s="5"/>
      <c r="F124" s="4"/>
      <c r="G124" s="7" t="str">
        <f aca="false">IF(AND($D124="",$E124=""),"",$G$2+SUMIF($F$3:$F124,"Espèces",$D$3:$D124)-SUMIF($F$3:$F124,"Espèces",$E$3:$E124))</f>
        <v/>
      </c>
      <c r="H124" s="7" t="str">
        <f aca="false">IF(AND($D124="",$E124=""),"",$H$2+SUMIF($F$3:$F124,"Mobile Money",$D$3:$D124)-SUMIF($F$3:$F124,"Mobile Money",$E$3:$E124))</f>
        <v/>
      </c>
    </row>
    <row r="125" customFormat="false" ht="15" hidden="false" customHeight="false" outlineLevel="0" collapsed="false">
      <c r="A125" s="2"/>
      <c r="B125" s="4"/>
      <c r="C125" s="4"/>
      <c r="D125" s="5"/>
      <c r="E125" s="5"/>
      <c r="F125" s="4"/>
      <c r="G125" s="7" t="str">
        <f aca="false">IF(AND($D125="",$E125=""),"",$G$2+SUMIF($F$3:$F125,"Espèces",$D$3:$D125)-SUMIF($F$3:$F125,"Espèces",$E$3:$E125))</f>
        <v/>
      </c>
      <c r="H125" s="7" t="str">
        <f aca="false">IF(AND($D125="",$E125=""),"",$H$2+SUMIF($F$3:$F125,"Mobile Money",$D$3:$D125)-SUMIF($F$3:$F125,"Mobile Money",$E$3:$E125))</f>
        <v/>
      </c>
    </row>
    <row r="126" customFormat="false" ht="15" hidden="false" customHeight="false" outlineLevel="0" collapsed="false">
      <c r="A126" s="2"/>
      <c r="B126" s="4"/>
      <c r="C126" s="4"/>
      <c r="D126" s="5"/>
      <c r="E126" s="5"/>
      <c r="F126" s="4"/>
      <c r="G126" s="7" t="str">
        <f aca="false">IF(AND($D126="",$E126=""),"",$G$2+SUMIF($F$3:$F126,"Espèces",$D$3:$D126)-SUMIF($F$3:$F126,"Espèces",$E$3:$E126))</f>
        <v/>
      </c>
      <c r="H126" s="7" t="str">
        <f aca="false">IF(AND($D126="",$E126=""),"",$H$2+SUMIF($F$3:$F126,"Mobile Money",$D$3:$D126)-SUMIF($F$3:$F126,"Mobile Money",$E$3:$E126))</f>
        <v/>
      </c>
    </row>
    <row r="127" customFormat="false" ht="15" hidden="false" customHeight="false" outlineLevel="0" collapsed="false">
      <c r="A127" s="2"/>
      <c r="B127" s="4"/>
      <c r="C127" s="4"/>
      <c r="D127" s="5"/>
      <c r="E127" s="5"/>
      <c r="F127" s="4"/>
      <c r="G127" s="7" t="str">
        <f aca="false">IF(AND($D127="",$E127=""),"",$G$2+SUMIF($F$3:$F127,"Espèces",$D$3:$D127)-SUMIF($F$3:$F127,"Espèces",$E$3:$E127))</f>
        <v/>
      </c>
      <c r="H127" s="7" t="str">
        <f aca="false">IF(AND($D127="",$E127=""),"",$H$2+SUMIF($F$3:$F127,"Mobile Money",$D$3:$D127)-SUMIF($F$3:$F127,"Mobile Money",$E$3:$E127))</f>
        <v/>
      </c>
    </row>
    <row r="128" customFormat="false" ht="15" hidden="false" customHeight="false" outlineLevel="0" collapsed="false">
      <c r="A128" s="2"/>
      <c r="B128" s="4"/>
      <c r="C128" s="4"/>
      <c r="D128" s="5"/>
      <c r="E128" s="5"/>
      <c r="F128" s="4"/>
      <c r="G128" s="7" t="str">
        <f aca="false">IF(AND($D128="",$E128=""),"",$G$2+SUMIF($F$3:$F128,"Espèces",$D$3:$D128)-SUMIF($F$3:$F128,"Espèces",$E$3:$E128))</f>
        <v/>
      </c>
      <c r="H128" s="7" t="str">
        <f aca="false">IF(AND($D128="",$E128=""),"",$H$2+SUMIF($F$3:$F128,"Mobile Money",$D$3:$D128)-SUMIF($F$3:$F128,"Mobile Money",$E$3:$E128))</f>
        <v/>
      </c>
    </row>
    <row r="129" customFormat="false" ht="15" hidden="false" customHeight="false" outlineLevel="0" collapsed="false">
      <c r="A129" s="2"/>
      <c r="B129" s="4"/>
      <c r="C129" s="4"/>
      <c r="D129" s="5"/>
      <c r="E129" s="5"/>
      <c r="F129" s="4"/>
      <c r="G129" s="7" t="str">
        <f aca="false">IF(AND($D129="",$E129=""),"",$G$2+SUMIF($F$3:$F129,"Espèces",$D$3:$D129)-SUMIF($F$3:$F129,"Espèces",$E$3:$E129))</f>
        <v/>
      </c>
      <c r="H129" s="7" t="str">
        <f aca="false">IF(AND($D129="",$E129=""),"",$H$2+SUMIF($F$3:$F129,"Mobile Money",$D$3:$D129)-SUMIF($F$3:$F129,"Mobile Money",$E$3:$E129))</f>
        <v/>
      </c>
    </row>
    <row r="130" customFormat="false" ht="15" hidden="false" customHeight="false" outlineLevel="0" collapsed="false">
      <c r="A130" s="2"/>
      <c r="B130" s="4"/>
      <c r="C130" s="4"/>
      <c r="D130" s="5"/>
      <c r="E130" s="5"/>
      <c r="F130" s="4"/>
      <c r="G130" s="7" t="str">
        <f aca="false">IF(AND($D130="",$E130=""),"",$G$2+SUMIF($F$3:$F130,"Espèces",$D$3:$D130)-SUMIF($F$3:$F130,"Espèces",$E$3:$E130))</f>
        <v/>
      </c>
      <c r="H130" s="7" t="str">
        <f aca="false">IF(AND($D130="",$E130=""),"",$H$2+SUMIF($F$3:$F130,"Mobile Money",$D$3:$D130)-SUMIF($F$3:$F130,"Mobile Money",$E$3:$E130))</f>
        <v/>
      </c>
    </row>
    <row r="131" customFormat="false" ht="15" hidden="false" customHeight="false" outlineLevel="0" collapsed="false">
      <c r="A131" s="2"/>
      <c r="B131" s="4"/>
      <c r="C131" s="4"/>
      <c r="D131" s="5"/>
      <c r="E131" s="5"/>
      <c r="F131" s="4"/>
      <c r="G131" s="7" t="str">
        <f aca="false">IF(AND($D131="",$E131=""),"",$G$2+SUMIF($F$3:$F131,"Espèces",$D$3:$D131)-SUMIF($F$3:$F131,"Espèces",$E$3:$E131))</f>
        <v/>
      </c>
      <c r="H131" s="7" t="str">
        <f aca="false">IF(AND($D131="",$E131=""),"",$H$2+SUMIF($F$3:$F131,"Mobile Money",$D$3:$D131)-SUMIF($F$3:$F131,"Mobile Money",$E$3:$E131))</f>
        <v/>
      </c>
    </row>
    <row r="132" customFormat="false" ht="15" hidden="false" customHeight="false" outlineLevel="0" collapsed="false">
      <c r="A132" s="2"/>
      <c r="B132" s="4"/>
      <c r="C132" s="4"/>
      <c r="D132" s="5"/>
      <c r="E132" s="5"/>
      <c r="F132" s="4"/>
      <c r="G132" s="7" t="str">
        <f aca="false">IF(AND($D132="",$E132=""),"",$G$2+SUMIF($F$3:$F132,"Espèces",$D$3:$D132)-SUMIF($F$3:$F132,"Espèces",$E$3:$E132))</f>
        <v/>
      </c>
      <c r="H132" s="7" t="str">
        <f aca="false">IF(AND($D132="",$E132=""),"",$H$2+SUMIF($F$3:$F132,"Mobile Money",$D$3:$D132)-SUMIF($F$3:$F132,"Mobile Money",$E$3:$E132))</f>
        <v/>
      </c>
    </row>
    <row r="133" customFormat="false" ht="15" hidden="false" customHeight="false" outlineLevel="0" collapsed="false">
      <c r="A133" s="2"/>
      <c r="B133" s="4"/>
      <c r="C133" s="4"/>
      <c r="D133" s="5"/>
      <c r="E133" s="5"/>
      <c r="F133" s="4"/>
      <c r="G133" s="7" t="str">
        <f aca="false">IF(AND($D133="",$E133=""),"",$G$2+SUMIF($F$3:$F133,"Espèces",$D$3:$D133)-SUMIF($F$3:$F133,"Espèces",$E$3:$E133))</f>
        <v/>
      </c>
      <c r="H133" s="7" t="str">
        <f aca="false">IF(AND($D133="",$E133=""),"",$H$2+SUMIF($F$3:$F133,"Mobile Money",$D$3:$D133)-SUMIF($F$3:$F133,"Mobile Money",$E$3:$E133))</f>
        <v/>
      </c>
    </row>
    <row r="134" customFormat="false" ht="15" hidden="false" customHeight="false" outlineLevel="0" collapsed="false">
      <c r="A134" s="2"/>
      <c r="B134" s="4"/>
      <c r="C134" s="4"/>
      <c r="D134" s="5"/>
      <c r="E134" s="5"/>
      <c r="F134" s="4"/>
      <c r="G134" s="7" t="str">
        <f aca="false">IF(AND($D134="",$E134=""),"",$G$2+SUMIF($F$3:$F134,"Espèces",$D$3:$D134)-SUMIF($F$3:$F134,"Espèces",$E$3:$E134))</f>
        <v/>
      </c>
      <c r="H134" s="7" t="str">
        <f aca="false">IF(AND($D134="",$E134=""),"",$H$2+SUMIF($F$3:$F134,"Mobile Money",$D$3:$D134)-SUMIF($F$3:$F134,"Mobile Money",$E$3:$E134))</f>
        <v/>
      </c>
    </row>
    <row r="135" customFormat="false" ht="15" hidden="false" customHeight="false" outlineLevel="0" collapsed="false">
      <c r="A135" s="2"/>
      <c r="B135" s="4"/>
      <c r="C135" s="4"/>
      <c r="D135" s="5"/>
      <c r="E135" s="5"/>
      <c r="F135" s="4"/>
      <c r="G135" s="7" t="str">
        <f aca="false">IF(AND($D135="",$E135=""),"",$G$2+SUMIF($F$3:$F135,"Espèces",$D$3:$D135)-SUMIF($F$3:$F135,"Espèces",$E$3:$E135))</f>
        <v/>
      </c>
      <c r="H135" s="7" t="str">
        <f aca="false">IF(AND($D135="",$E135=""),"",$H$2+SUMIF($F$3:$F135,"Mobile Money",$D$3:$D135)-SUMIF($F$3:$F135,"Mobile Money",$E$3:$E135))</f>
        <v/>
      </c>
    </row>
    <row r="136" customFormat="false" ht="15" hidden="false" customHeight="false" outlineLevel="0" collapsed="false">
      <c r="A136" s="2"/>
      <c r="B136" s="4"/>
      <c r="C136" s="4"/>
      <c r="D136" s="5"/>
      <c r="E136" s="5"/>
      <c r="F136" s="4"/>
      <c r="G136" s="7" t="str">
        <f aca="false">IF(AND($D136="",$E136=""),"",$G$2+SUMIF($F$3:$F136,"Espèces",$D$3:$D136)-SUMIF($F$3:$F136,"Espèces",$E$3:$E136))</f>
        <v/>
      </c>
      <c r="H136" s="7" t="str">
        <f aca="false">IF(AND($D136="",$E136=""),"",$H$2+SUMIF($F$3:$F136,"Mobile Money",$D$3:$D136)-SUMIF($F$3:$F136,"Mobile Money",$E$3:$E136))</f>
        <v/>
      </c>
    </row>
    <row r="137" customFormat="false" ht="15" hidden="false" customHeight="false" outlineLevel="0" collapsed="false">
      <c r="A137" s="2"/>
      <c r="B137" s="4"/>
      <c r="C137" s="4"/>
      <c r="D137" s="5"/>
      <c r="E137" s="5"/>
      <c r="F137" s="4"/>
      <c r="G137" s="7" t="str">
        <f aca="false">IF(AND($D137="",$E137=""),"",$G$2+SUMIF($F$3:$F137,"Espèces",$D$3:$D137)-SUMIF($F$3:$F137,"Espèces",$E$3:$E137))</f>
        <v/>
      </c>
      <c r="H137" s="7" t="str">
        <f aca="false">IF(AND($D137="",$E137=""),"",$H$2+SUMIF($F$3:$F137,"Mobile Money",$D$3:$D137)-SUMIF($F$3:$F137,"Mobile Money",$E$3:$E137))</f>
        <v/>
      </c>
    </row>
    <row r="138" customFormat="false" ht="15" hidden="false" customHeight="false" outlineLevel="0" collapsed="false">
      <c r="A138" s="2"/>
      <c r="B138" s="4"/>
      <c r="C138" s="4"/>
      <c r="D138" s="5"/>
      <c r="E138" s="5"/>
      <c r="F138" s="4"/>
      <c r="G138" s="7" t="str">
        <f aca="false">IF(AND($D138="",$E138=""),"",$G$2+SUMIF($F$3:$F138,"Espèces",$D$3:$D138)-SUMIF($F$3:$F138,"Espèces",$E$3:$E138))</f>
        <v/>
      </c>
      <c r="H138" s="7" t="str">
        <f aca="false">IF(AND($D138="",$E138=""),"",$H$2+SUMIF($F$3:$F138,"Mobile Money",$D$3:$D138)-SUMIF($F$3:$F138,"Mobile Money",$E$3:$E138))</f>
        <v/>
      </c>
    </row>
    <row r="139" customFormat="false" ht="15" hidden="false" customHeight="false" outlineLevel="0" collapsed="false">
      <c r="A139" s="2"/>
      <c r="B139" s="4"/>
      <c r="C139" s="4"/>
      <c r="D139" s="5"/>
      <c r="E139" s="5"/>
      <c r="F139" s="4"/>
      <c r="G139" s="7" t="str">
        <f aca="false">IF(AND($D139="",$E139=""),"",$G$2+SUMIF($F$3:$F139,"Espèces",$D$3:$D139)-SUMIF($F$3:$F139,"Espèces",$E$3:$E139))</f>
        <v/>
      </c>
      <c r="H139" s="7" t="str">
        <f aca="false">IF(AND($D139="",$E139=""),"",$H$2+SUMIF($F$3:$F139,"Mobile Money",$D$3:$D139)-SUMIF($F$3:$F139,"Mobile Money",$E$3:$E139))</f>
        <v/>
      </c>
    </row>
    <row r="140" customFormat="false" ht="15" hidden="false" customHeight="false" outlineLevel="0" collapsed="false">
      <c r="A140" s="2"/>
      <c r="B140" s="4"/>
      <c r="C140" s="4"/>
      <c r="D140" s="5"/>
      <c r="E140" s="5"/>
      <c r="F140" s="4"/>
      <c r="G140" s="7" t="str">
        <f aca="false">IF(AND($D140="",$E140=""),"",$G$2+SUMIF($F$3:$F140,"Espèces",$D$3:$D140)-SUMIF($F$3:$F140,"Espèces",$E$3:$E140))</f>
        <v/>
      </c>
      <c r="H140" s="7" t="str">
        <f aca="false">IF(AND($D140="",$E140=""),"",$H$2+SUMIF($F$3:$F140,"Mobile Money",$D$3:$D140)-SUMIF($F$3:$F140,"Mobile Money",$E$3:$E140))</f>
        <v/>
      </c>
    </row>
    <row r="141" customFormat="false" ht="15" hidden="false" customHeight="false" outlineLevel="0" collapsed="false">
      <c r="A141" s="2"/>
      <c r="B141" s="4"/>
      <c r="C141" s="4"/>
      <c r="D141" s="5"/>
      <c r="E141" s="5"/>
      <c r="F141" s="4"/>
      <c r="G141" s="7" t="str">
        <f aca="false">IF(AND($D141="",$E141=""),"",$G$2+SUMIF($F$3:$F141,"Espèces",$D$3:$D141)-SUMIF($F$3:$F141,"Espèces",$E$3:$E141))</f>
        <v/>
      </c>
      <c r="H141" s="7" t="str">
        <f aca="false">IF(AND($D141="",$E141=""),"",$H$2+SUMIF($F$3:$F141,"Mobile Money",$D$3:$D141)-SUMIF($F$3:$F141,"Mobile Money",$E$3:$E141))</f>
        <v/>
      </c>
    </row>
    <row r="142" customFormat="false" ht="15" hidden="false" customHeight="false" outlineLevel="0" collapsed="false">
      <c r="A142" s="2"/>
      <c r="B142" s="4"/>
      <c r="C142" s="4"/>
      <c r="D142" s="5"/>
      <c r="E142" s="5"/>
      <c r="F142" s="4"/>
      <c r="G142" s="7" t="str">
        <f aca="false">IF(AND($D142="",$E142=""),"",$G$2+SUMIF($F$3:$F142,"Espèces",$D$3:$D142)-SUMIF($F$3:$F142,"Espèces",$E$3:$E142))</f>
        <v/>
      </c>
      <c r="H142" s="7" t="str">
        <f aca="false">IF(AND($D142="",$E142=""),"",$H$2+SUMIF($F$3:$F142,"Mobile Money",$D$3:$D142)-SUMIF($F$3:$F142,"Mobile Money",$E$3:$E142))</f>
        <v/>
      </c>
    </row>
    <row r="143" customFormat="false" ht="15" hidden="false" customHeight="false" outlineLevel="0" collapsed="false">
      <c r="A143" s="2"/>
      <c r="B143" s="4"/>
      <c r="C143" s="4"/>
      <c r="D143" s="5"/>
      <c r="E143" s="5"/>
      <c r="F143" s="4"/>
      <c r="G143" s="7" t="str">
        <f aca="false">IF(AND($D143="",$E143=""),"",$G$2+SUMIF($F$3:$F143,"Espèces",$D$3:$D143)-SUMIF($F$3:$F143,"Espèces",$E$3:$E143))</f>
        <v/>
      </c>
      <c r="H143" s="7" t="str">
        <f aca="false">IF(AND($D143="",$E143=""),"",$H$2+SUMIF($F$3:$F143,"Mobile Money",$D$3:$D143)-SUMIF($F$3:$F143,"Mobile Money",$E$3:$E143))</f>
        <v/>
      </c>
    </row>
    <row r="144" customFormat="false" ht="15" hidden="false" customHeight="false" outlineLevel="0" collapsed="false">
      <c r="A144" s="2"/>
      <c r="B144" s="4"/>
      <c r="C144" s="4"/>
      <c r="D144" s="5"/>
      <c r="E144" s="5"/>
      <c r="F144" s="4"/>
      <c r="G144" s="7" t="str">
        <f aca="false">IF(AND($D144="",$E144=""),"",$G$2+SUMIF($F$3:$F144,"Espèces",$D$3:$D144)-SUMIF($F$3:$F144,"Espèces",$E$3:$E144))</f>
        <v/>
      </c>
      <c r="H144" s="7" t="str">
        <f aca="false">IF(AND($D144="",$E144=""),"",$H$2+SUMIF($F$3:$F144,"Mobile Money",$D$3:$D144)-SUMIF($F$3:$F144,"Mobile Money",$E$3:$E144))</f>
        <v/>
      </c>
    </row>
    <row r="145" customFormat="false" ht="15" hidden="false" customHeight="false" outlineLevel="0" collapsed="false">
      <c r="A145" s="2"/>
      <c r="B145" s="4"/>
      <c r="C145" s="4"/>
      <c r="D145" s="5"/>
      <c r="E145" s="5"/>
      <c r="F145" s="4"/>
      <c r="G145" s="7" t="str">
        <f aca="false">IF(AND($D145="",$E145=""),"",$G$2+SUMIF($F$3:$F145,"Espèces",$D$3:$D145)-SUMIF($F$3:$F145,"Espèces",$E$3:$E145))</f>
        <v/>
      </c>
      <c r="H145" s="7" t="str">
        <f aca="false">IF(AND($D145="",$E145=""),"",$H$2+SUMIF($F$3:$F145,"Mobile Money",$D$3:$D145)-SUMIF($F$3:$F145,"Mobile Money",$E$3:$E145))</f>
        <v/>
      </c>
    </row>
    <row r="146" customFormat="false" ht="15" hidden="false" customHeight="false" outlineLevel="0" collapsed="false">
      <c r="A146" s="2"/>
      <c r="B146" s="4"/>
      <c r="C146" s="4"/>
      <c r="D146" s="5"/>
      <c r="E146" s="5"/>
      <c r="F146" s="4"/>
      <c r="G146" s="7" t="str">
        <f aca="false">IF(AND($D146="",$E146=""),"",$G$2+SUMIF($F$3:$F146,"Espèces",$D$3:$D146)-SUMIF($F$3:$F146,"Espèces",$E$3:$E146))</f>
        <v/>
      </c>
      <c r="H146" s="7" t="str">
        <f aca="false">IF(AND($D146="",$E146=""),"",$H$2+SUMIF($F$3:$F146,"Mobile Money",$D$3:$D146)-SUMIF($F$3:$F146,"Mobile Money",$E$3:$E146))</f>
        <v/>
      </c>
    </row>
    <row r="147" customFormat="false" ht="15" hidden="false" customHeight="false" outlineLevel="0" collapsed="false">
      <c r="A147" s="2"/>
      <c r="B147" s="4"/>
      <c r="C147" s="4"/>
      <c r="D147" s="5"/>
      <c r="E147" s="5"/>
      <c r="F147" s="4"/>
      <c r="G147" s="7" t="str">
        <f aca="false">IF(AND($D147="",$E147=""),"",$G$2+SUMIF($F$3:$F147,"Espèces",$D$3:$D147)-SUMIF($F$3:$F147,"Espèces",$E$3:$E147))</f>
        <v/>
      </c>
      <c r="H147" s="7" t="str">
        <f aca="false">IF(AND($D147="",$E147=""),"",$H$2+SUMIF($F$3:$F147,"Mobile Money",$D$3:$D147)-SUMIF($F$3:$F147,"Mobile Money",$E$3:$E147))</f>
        <v/>
      </c>
    </row>
    <row r="148" customFormat="false" ht="15" hidden="false" customHeight="false" outlineLevel="0" collapsed="false">
      <c r="A148" s="2"/>
      <c r="B148" s="4"/>
      <c r="C148" s="4"/>
      <c r="D148" s="5"/>
      <c r="E148" s="5"/>
      <c r="F148" s="4"/>
      <c r="G148" s="7" t="str">
        <f aca="false">IF(AND($D148="",$E148=""),"",$G$2+SUMIF($F$3:$F148,"Espèces",$D$3:$D148)-SUMIF($F$3:$F148,"Espèces",$E$3:$E148))</f>
        <v/>
      </c>
      <c r="H148" s="7" t="str">
        <f aca="false">IF(AND($D148="",$E148=""),"",$H$2+SUMIF($F$3:$F148,"Mobile Money",$D$3:$D148)-SUMIF($F$3:$F148,"Mobile Money",$E$3:$E148))</f>
        <v/>
      </c>
    </row>
    <row r="149" customFormat="false" ht="15" hidden="false" customHeight="false" outlineLevel="0" collapsed="false">
      <c r="A149" s="2"/>
      <c r="B149" s="4"/>
      <c r="C149" s="4"/>
      <c r="D149" s="5"/>
      <c r="E149" s="5"/>
      <c r="F149" s="4"/>
      <c r="G149" s="7" t="str">
        <f aca="false">IF(AND($D149="",$E149=""),"",$G$2+SUMIF($F$3:$F149,"Espèces",$D$3:$D149)-SUMIF($F$3:$F149,"Espèces",$E$3:$E149))</f>
        <v/>
      </c>
      <c r="H149" s="7" t="str">
        <f aca="false">IF(AND($D149="",$E149=""),"",$H$2+SUMIF($F$3:$F149,"Mobile Money",$D$3:$D149)-SUMIF($F$3:$F149,"Mobile Money",$E$3:$E149))</f>
        <v/>
      </c>
    </row>
    <row r="150" customFormat="false" ht="15" hidden="false" customHeight="false" outlineLevel="0" collapsed="false">
      <c r="A150" s="2"/>
      <c r="B150" s="4"/>
      <c r="C150" s="4"/>
      <c r="D150" s="5"/>
      <c r="E150" s="5"/>
      <c r="F150" s="4"/>
      <c r="G150" s="7" t="str">
        <f aca="false">IF(AND($D150="",$E150=""),"",$G$2+SUMIF($F$3:$F150,"Espèces",$D$3:$D150)-SUMIF($F$3:$F150,"Espèces",$E$3:$E150))</f>
        <v/>
      </c>
      <c r="H150" s="7" t="str">
        <f aca="false">IF(AND($D150="",$E150=""),"",$H$2+SUMIF($F$3:$F150,"Mobile Money",$D$3:$D150)-SUMIF($F$3:$F150,"Mobile Money",$E$3:$E150))</f>
        <v/>
      </c>
    </row>
    <row r="151" customFormat="false" ht="15" hidden="false" customHeight="false" outlineLevel="0" collapsed="false">
      <c r="A151" s="2"/>
      <c r="B151" s="4"/>
      <c r="C151" s="4"/>
      <c r="D151" s="5"/>
      <c r="E151" s="5"/>
      <c r="F151" s="4"/>
      <c r="G151" s="7" t="str">
        <f aca="false">IF(AND($D151="",$E151=""),"",$G$2+SUMIF($F$3:$F151,"Espèces",$D$3:$D151)-SUMIF($F$3:$F151,"Espèces",$E$3:$E151))</f>
        <v/>
      </c>
      <c r="H151" s="7" t="str">
        <f aca="false">IF(AND($D151="",$E151=""),"",$H$2+SUMIF($F$3:$F151,"Mobile Money",$D$3:$D151)-SUMIF($F$3:$F151,"Mobile Money",$E$3:$E151))</f>
        <v/>
      </c>
    </row>
    <row r="152" customFormat="false" ht="15" hidden="false" customHeight="false" outlineLevel="0" collapsed="false">
      <c r="A152" s="2"/>
      <c r="B152" s="4"/>
      <c r="C152" s="4"/>
      <c r="D152" s="5"/>
      <c r="E152" s="5"/>
      <c r="F152" s="4"/>
      <c r="G152" s="7" t="str">
        <f aca="false">IF(AND($D152="",$E152=""),"",$G$2+SUMIF($F$3:$F152,"Espèces",$D$3:$D152)-SUMIF($F$3:$F152,"Espèces",$E$3:$E152))</f>
        <v/>
      </c>
      <c r="H152" s="7" t="str">
        <f aca="false">IF(AND($D152="",$E152=""),"",$H$2+SUMIF($F$3:$F152,"Mobile Money",$D$3:$D152)-SUMIF($F$3:$F152,"Mobile Money",$E$3:$E152))</f>
        <v/>
      </c>
    </row>
    <row r="153" customFormat="false" ht="15" hidden="false" customHeight="false" outlineLevel="0" collapsed="false">
      <c r="A153" s="2"/>
      <c r="B153" s="4"/>
      <c r="C153" s="4"/>
      <c r="D153" s="5"/>
      <c r="E153" s="5"/>
      <c r="F153" s="4"/>
      <c r="G153" s="7" t="str">
        <f aca="false">IF(AND($D153="",$E153=""),"",$G$2+SUMIF($F$3:$F153,"Espèces",$D$3:$D153)-SUMIF($F$3:$F153,"Espèces",$E$3:$E153))</f>
        <v/>
      </c>
      <c r="H153" s="7" t="str">
        <f aca="false">IF(AND($D153="",$E153=""),"",$H$2+SUMIF($F$3:$F153,"Mobile Money",$D$3:$D153)-SUMIF($F$3:$F153,"Mobile Money",$E$3:$E153))</f>
        <v/>
      </c>
    </row>
    <row r="154" customFormat="false" ht="15" hidden="false" customHeight="false" outlineLevel="0" collapsed="false">
      <c r="A154" s="2"/>
      <c r="B154" s="4"/>
      <c r="C154" s="4"/>
      <c r="D154" s="5"/>
      <c r="E154" s="5"/>
      <c r="F154" s="4"/>
      <c r="G154" s="7" t="str">
        <f aca="false">IF(AND($D154="",$E154=""),"",$G$2+SUMIF($F$3:$F154,"Espèces",$D$3:$D154)-SUMIF($F$3:$F154,"Espèces",$E$3:$E154))</f>
        <v/>
      </c>
      <c r="H154" s="7" t="str">
        <f aca="false">IF(AND($D154="",$E154=""),"",$H$2+SUMIF($F$3:$F154,"Mobile Money",$D$3:$D154)-SUMIF($F$3:$F154,"Mobile Money",$E$3:$E154))</f>
        <v/>
      </c>
    </row>
    <row r="155" customFormat="false" ht="15" hidden="false" customHeight="false" outlineLevel="0" collapsed="false">
      <c r="A155" s="2"/>
      <c r="B155" s="4"/>
      <c r="C155" s="4"/>
      <c r="D155" s="5"/>
      <c r="E155" s="5"/>
      <c r="F155" s="4"/>
      <c r="G155" s="7" t="str">
        <f aca="false">IF(AND($D155="",$E155=""),"",$G$2+SUMIF($F$3:$F155,"Espèces",$D$3:$D155)-SUMIF($F$3:$F155,"Espèces",$E$3:$E155))</f>
        <v/>
      </c>
      <c r="H155" s="7" t="str">
        <f aca="false">IF(AND($D155="",$E155=""),"",$H$2+SUMIF($F$3:$F155,"Mobile Money",$D$3:$D155)-SUMIF($F$3:$F155,"Mobile Money",$E$3:$E155))</f>
        <v/>
      </c>
    </row>
    <row r="156" customFormat="false" ht="15" hidden="false" customHeight="false" outlineLevel="0" collapsed="false">
      <c r="A156" s="2"/>
      <c r="B156" s="4"/>
      <c r="C156" s="4"/>
      <c r="D156" s="5"/>
      <c r="E156" s="5"/>
      <c r="F156" s="4"/>
      <c r="G156" s="7" t="str">
        <f aca="false">IF(AND($D156="",$E156=""),"",$G$2+SUMIF($F$3:$F156,"Espèces",$D$3:$D156)-SUMIF($F$3:$F156,"Espèces",$E$3:$E156))</f>
        <v/>
      </c>
      <c r="H156" s="7" t="str">
        <f aca="false">IF(AND($D156="",$E156=""),"",$H$2+SUMIF($F$3:$F156,"Mobile Money",$D$3:$D156)-SUMIF($F$3:$F156,"Mobile Money",$E$3:$E156))</f>
        <v/>
      </c>
    </row>
    <row r="157" customFormat="false" ht="15" hidden="false" customHeight="false" outlineLevel="0" collapsed="false">
      <c r="A157" s="2"/>
      <c r="B157" s="4"/>
      <c r="C157" s="4"/>
      <c r="D157" s="5"/>
      <c r="E157" s="5"/>
      <c r="F157" s="4"/>
      <c r="G157" s="7" t="str">
        <f aca="false">IF(AND($D157="",$E157=""),"",$G$2+SUMIF($F$3:$F157,"Espèces",$D$3:$D157)-SUMIF($F$3:$F157,"Espèces",$E$3:$E157))</f>
        <v/>
      </c>
      <c r="H157" s="7" t="str">
        <f aca="false">IF(AND($D157="",$E157=""),"",$H$2+SUMIF($F$3:$F157,"Mobile Money",$D$3:$D157)-SUMIF($F$3:$F157,"Mobile Money",$E$3:$E157))</f>
        <v/>
      </c>
    </row>
    <row r="158" customFormat="false" ht="15" hidden="false" customHeight="false" outlineLevel="0" collapsed="false">
      <c r="A158" s="2"/>
      <c r="B158" s="4"/>
      <c r="C158" s="4"/>
      <c r="D158" s="5"/>
      <c r="E158" s="5"/>
      <c r="F158" s="4"/>
      <c r="G158" s="7" t="str">
        <f aca="false">IF(AND($D158="",$E158=""),"",$G$2+SUMIF($F$3:$F158,"Espèces",$D$3:$D158)-SUMIF($F$3:$F158,"Espèces",$E$3:$E158))</f>
        <v/>
      </c>
      <c r="H158" s="7" t="str">
        <f aca="false">IF(AND($D158="",$E158=""),"",$H$2+SUMIF($F$3:$F158,"Mobile Money",$D$3:$D158)-SUMIF($F$3:$F158,"Mobile Money",$E$3:$E158))</f>
        <v/>
      </c>
    </row>
    <row r="159" customFormat="false" ht="15" hidden="false" customHeight="false" outlineLevel="0" collapsed="false">
      <c r="A159" s="2"/>
      <c r="B159" s="4"/>
      <c r="C159" s="4"/>
      <c r="D159" s="5"/>
      <c r="E159" s="5"/>
      <c r="F159" s="4"/>
      <c r="G159" s="7" t="str">
        <f aca="false">IF(AND($D159="",$E159=""),"",$G$2+SUMIF($F$3:$F159,"Espèces",$D$3:$D159)-SUMIF($F$3:$F159,"Espèces",$E$3:$E159))</f>
        <v/>
      </c>
      <c r="H159" s="7" t="str">
        <f aca="false">IF(AND($D159="",$E159=""),"",$H$2+SUMIF($F$3:$F159,"Mobile Money",$D$3:$D159)-SUMIF($F$3:$F159,"Mobile Money",$E$3:$E159))</f>
        <v/>
      </c>
    </row>
    <row r="160" customFormat="false" ht="15" hidden="false" customHeight="false" outlineLevel="0" collapsed="false">
      <c r="A160" s="2"/>
      <c r="B160" s="4"/>
      <c r="C160" s="4"/>
      <c r="D160" s="5"/>
      <c r="E160" s="5"/>
      <c r="F160" s="4"/>
      <c r="G160" s="7" t="str">
        <f aca="false">IF(AND($D160="",$E160=""),"",$G$2+SUMIF($F$3:$F160,"Espèces",$D$3:$D160)-SUMIF($F$3:$F160,"Espèces",$E$3:$E160))</f>
        <v/>
      </c>
      <c r="H160" s="7" t="str">
        <f aca="false">IF(AND($D160="",$E160=""),"",$H$2+SUMIF($F$3:$F160,"Mobile Money",$D$3:$D160)-SUMIF($F$3:$F160,"Mobile Money",$E$3:$E160))</f>
        <v/>
      </c>
    </row>
    <row r="161" customFormat="false" ht="15" hidden="false" customHeight="false" outlineLevel="0" collapsed="false">
      <c r="A161" s="2"/>
      <c r="B161" s="4"/>
      <c r="C161" s="4"/>
      <c r="D161" s="5"/>
      <c r="E161" s="5"/>
      <c r="F161" s="4"/>
      <c r="G161" s="7" t="str">
        <f aca="false">IF(AND($D161="",$E161=""),"",$G$2+SUMIF($F$3:$F161,"Espèces",$D$3:$D161)-SUMIF($F$3:$F161,"Espèces",$E$3:$E161))</f>
        <v/>
      </c>
      <c r="H161" s="7" t="str">
        <f aca="false">IF(AND($D161="",$E161=""),"",$H$2+SUMIF($F$3:$F161,"Mobile Money",$D$3:$D161)-SUMIF($F$3:$F161,"Mobile Money",$E$3:$E161))</f>
        <v/>
      </c>
    </row>
    <row r="162" customFormat="false" ht="15" hidden="false" customHeight="false" outlineLevel="0" collapsed="false">
      <c r="A162" s="2"/>
      <c r="B162" s="4"/>
      <c r="C162" s="4"/>
      <c r="D162" s="5"/>
      <c r="E162" s="5"/>
      <c r="F162" s="4"/>
      <c r="G162" s="7" t="str">
        <f aca="false">IF(AND($D162="",$E162=""),"",$G$2+SUMIF($F$3:$F162,"Espèces",$D$3:$D162)-SUMIF($F$3:$F162,"Espèces",$E$3:$E162))</f>
        <v/>
      </c>
      <c r="H162" s="7" t="str">
        <f aca="false">IF(AND($D162="",$E162=""),"",$H$2+SUMIF($F$3:$F162,"Mobile Money",$D$3:$D162)-SUMIF($F$3:$F162,"Mobile Money",$E$3:$E162))</f>
        <v/>
      </c>
    </row>
    <row r="163" customFormat="false" ht="15" hidden="false" customHeight="false" outlineLevel="0" collapsed="false">
      <c r="A163" s="2"/>
      <c r="B163" s="4"/>
      <c r="C163" s="4"/>
      <c r="D163" s="5"/>
      <c r="E163" s="5"/>
      <c r="F163" s="4"/>
      <c r="G163" s="7" t="str">
        <f aca="false">IF(AND($D163="",$E163=""),"",$G$2+SUMIF($F$3:$F163,"Espèces",$D$3:$D163)-SUMIF($F$3:$F163,"Espèces",$E$3:$E163))</f>
        <v/>
      </c>
      <c r="H163" s="7" t="str">
        <f aca="false">IF(AND($D163="",$E163=""),"",$H$2+SUMIF($F$3:$F163,"Mobile Money",$D$3:$D163)-SUMIF($F$3:$F163,"Mobile Money",$E$3:$E163))</f>
        <v/>
      </c>
    </row>
    <row r="164" customFormat="false" ht="15" hidden="false" customHeight="false" outlineLevel="0" collapsed="false">
      <c r="A164" s="2"/>
      <c r="B164" s="4"/>
      <c r="C164" s="4"/>
      <c r="D164" s="5"/>
      <c r="E164" s="5"/>
      <c r="F164" s="4"/>
      <c r="G164" s="7" t="str">
        <f aca="false">IF(AND($D164="",$E164=""),"",$G$2+SUMIF($F$3:$F164,"Espèces",$D$3:$D164)-SUMIF($F$3:$F164,"Espèces",$E$3:$E164))</f>
        <v/>
      </c>
      <c r="H164" s="7" t="str">
        <f aca="false">IF(AND($D164="",$E164=""),"",$H$2+SUMIF($F$3:$F164,"Mobile Money",$D$3:$D164)-SUMIF($F$3:$F164,"Mobile Money",$E$3:$E164))</f>
        <v/>
      </c>
    </row>
    <row r="165" customFormat="false" ht="15" hidden="false" customHeight="false" outlineLevel="0" collapsed="false">
      <c r="A165" s="2"/>
      <c r="B165" s="4"/>
      <c r="C165" s="4"/>
      <c r="D165" s="5"/>
      <c r="E165" s="5"/>
      <c r="F165" s="4"/>
      <c r="G165" s="7" t="str">
        <f aca="false">IF(AND($D165="",$E165=""),"",$G$2+SUMIF($F$3:$F165,"Espèces",$D$3:$D165)-SUMIF($F$3:$F165,"Espèces",$E$3:$E165))</f>
        <v/>
      </c>
      <c r="H165" s="7" t="str">
        <f aca="false">IF(AND($D165="",$E165=""),"",$H$2+SUMIF($F$3:$F165,"Mobile Money",$D$3:$D165)-SUMIF($F$3:$F165,"Mobile Money",$E$3:$E165))</f>
        <v/>
      </c>
    </row>
    <row r="166" customFormat="false" ht="15" hidden="false" customHeight="false" outlineLevel="0" collapsed="false">
      <c r="A166" s="2"/>
      <c r="B166" s="4"/>
      <c r="C166" s="4"/>
      <c r="D166" s="5"/>
      <c r="E166" s="5"/>
      <c r="F166" s="4"/>
      <c r="G166" s="7" t="str">
        <f aca="false">IF(AND($D166="",$E166=""),"",$G$2+SUMIF($F$3:$F166,"Espèces",$D$3:$D166)-SUMIF($F$3:$F166,"Espèces",$E$3:$E166))</f>
        <v/>
      </c>
      <c r="H166" s="7" t="str">
        <f aca="false">IF(AND($D166="",$E166=""),"",$H$2+SUMIF($F$3:$F166,"Mobile Money",$D$3:$D166)-SUMIF($F$3:$F166,"Mobile Money",$E$3:$E166))</f>
        <v/>
      </c>
    </row>
    <row r="167" customFormat="false" ht="15" hidden="false" customHeight="false" outlineLevel="0" collapsed="false">
      <c r="A167" s="2"/>
      <c r="B167" s="4"/>
      <c r="C167" s="4"/>
      <c r="D167" s="5"/>
      <c r="E167" s="5"/>
      <c r="F167" s="4"/>
      <c r="G167" s="7" t="str">
        <f aca="false">IF(AND($D167="",$E167=""),"",$G$2+SUMIF($F$3:$F167,"Espèces",$D$3:$D167)-SUMIF($F$3:$F167,"Espèces",$E$3:$E167))</f>
        <v/>
      </c>
      <c r="H167" s="7" t="str">
        <f aca="false">IF(AND($D167="",$E167=""),"",$H$2+SUMIF($F$3:$F167,"Mobile Money",$D$3:$D167)-SUMIF($F$3:$F167,"Mobile Money",$E$3:$E167))</f>
        <v/>
      </c>
    </row>
    <row r="168" customFormat="false" ht="15" hidden="false" customHeight="false" outlineLevel="0" collapsed="false">
      <c r="A168" s="2"/>
      <c r="B168" s="4"/>
      <c r="C168" s="4"/>
      <c r="D168" s="5"/>
      <c r="E168" s="5"/>
      <c r="F168" s="4"/>
      <c r="G168" s="7" t="str">
        <f aca="false">IF(AND($D168="",$E168=""),"",$G$2+SUMIF($F$3:$F168,"Espèces",$D$3:$D168)-SUMIF($F$3:$F168,"Espèces",$E$3:$E168))</f>
        <v/>
      </c>
      <c r="H168" s="7" t="str">
        <f aca="false">IF(AND($D168="",$E168=""),"",$H$2+SUMIF($F$3:$F168,"Mobile Money",$D$3:$D168)-SUMIF($F$3:$F168,"Mobile Money",$E$3:$E168))</f>
        <v/>
      </c>
    </row>
    <row r="169" customFormat="false" ht="15" hidden="false" customHeight="false" outlineLevel="0" collapsed="false">
      <c r="A169" s="2"/>
      <c r="B169" s="4"/>
      <c r="C169" s="4"/>
      <c r="D169" s="5"/>
      <c r="E169" s="5"/>
      <c r="F169" s="4"/>
      <c r="G169" s="7" t="str">
        <f aca="false">IF(AND($D169="",$E169=""),"",$G$2+SUMIF($F$3:$F169,"Espèces",$D$3:$D169)-SUMIF($F$3:$F169,"Espèces",$E$3:$E169))</f>
        <v/>
      </c>
      <c r="H169" s="7" t="str">
        <f aca="false">IF(AND($D169="",$E169=""),"",$H$2+SUMIF($F$3:$F169,"Mobile Money",$D$3:$D169)-SUMIF($F$3:$F169,"Mobile Money",$E$3:$E169))</f>
        <v/>
      </c>
    </row>
    <row r="170" customFormat="false" ht="15" hidden="false" customHeight="false" outlineLevel="0" collapsed="false">
      <c r="A170" s="2"/>
      <c r="B170" s="4"/>
      <c r="C170" s="4"/>
      <c r="D170" s="5"/>
      <c r="E170" s="5"/>
      <c r="F170" s="4"/>
      <c r="G170" s="7" t="str">
        <f aca="false">IF(AND($D170="",$E170=""),"",$G$2+SUMIF($F$3:$F170,"Espèces",$D$3:$D170)-SUMIF($F$3:$F170,"Espèces",$E$3:$E170))</f>
        <v/>
      </c>
      <c r="H170" s="7" t="str">
        <f aca="false">IF(AND($D170="",$E170=""),"",$H$2+SUMIF($F$3:$F170,"Mobile Money",$D$3:$D170)-SUMIF($F$3:$F170,"Mobile Money",$E$3:$E170))</f>
        <v/>
      </c>
    </row>
    <row r="171" customFormat="false" ht="15" hidden="false" customHeight="false" outlineLevel="0" collapsed="false">
      <c r="A171" s="2"/>
      <c r="B171" s="4"/>
      <c r="C171" s="4"/>
      <c r="D171" s="5"/>
      <c r="E171" s="5"/>
      <c r="F171" s="4"/>
      <c r="G171" s="7" t="str">
        <f aca="false">IF(AND($D171="",$E171=""),"",$G$2+SUMIF($F$3:$F171,"Espèces",$D$3:$D171)-SUMIF($F$3:$F171,"Espèces",$E$3:$E171))</f>
        <v/>
      </c>
      <c r="H171" s="7" t="str">
        <f aca="false">IF(AND($D171="",$E171=""),"",$H$2+SUMIF($F$3:$F171,"Mobile Money",$D$3:$D171)-SUMIF($F$3:$F171,"Mobile Money",$E$3:$E171))</f>
        <v/>
      </c>
    </row>
    <row r="172" customFormat="false" ht="15" hidden="false" customHeight="false" outlineLevel="0" collapsed="false">
      <c r="A172" s="2"/>
      <c r="B172" s="4"/>
      <c r="C172" s="4"/>
      <c r="D172" s="5"/>
      <c r="E172" s="5"/>
      <c r="F172" s="4"/>
      <c r="G172" s="7" t="str">
        <f aca="false">IF(AND($D172="",$E172=""),"",$G$2+SUMIF($F$3:$F172,"Espèces",$D$3:$D172)-SUMIF($F$3:$F172,"Espèces",$E$3:$E172))</f>
        <v/>
      </c>
      <c r="H172" s="7" t="str">
        <f aca="false">IF(AND($D172="",$E172=""),"",$H$2+SUMIF($F$3:$F172,"Mobile Money",$D$3:$D172)-SUMIF($F$3:$F172,"Mobile Money",$E$3:$E172))</f>
        <v/>
      </c>
    </row>
    <row r="173" customFormat="false" ht="15" hidden="false" customHeight="false" outlineLevel="0" collapsed="false">
      <c r="A173" s="2"/>
      <c r="B173" s="4"/>
      <c r="C173" s="4"/>
      <c r="D173" s="5"/>
      <c r="E173" s="5"/>
      <c r="F173" s="4"/>
      <c r="G173" s="7" t="str">
        <f aca="false">IF(AND($D173="",$E173=""),"",$G$2+SUMIF($F$3:$F173,"Espèces",$D$3:$D173)-SUMIF($F$3:$F173,"Espèces",$E$3:$E173))</f>
        <v/>
      </c>
      <c r="H173" s="7" t="str">
        <f aca="false">IF(AND($D173="",$E173=""),"",$H$2+SUMIF($F$3:$F173,"Mobile Money",$D$3:$D173)-SUMIF($F$3:$F173,"Mobile Money",$E$3:$E173))</f>
        <v/>
      </c>
    </row>
    <row r="174" customFormat="false" ht="15" hidden="false" customHeight="false" outlineLevel="0" collapsed="false">
      <c r="A174" s="2"/>
      <c r="B174" s="4"/>
      <c r="C174" s="4"/>
      <c r="D174" s="5"/>
      <c r="E174" s="5"/>
      <c r="F174" s="4"/>
      <c r="G174" s="7" t="str">
        <f aca="false">IF(AND($D174="",$E174=""),"",$G$2+SUMIF($F$3:$F174,"Espèces",$D$3:$D174)-SUMIF($F$3:$F174,"Espèces",$E$3:$E174))</f>
        <v/>
      </c>
      <c r="H174" s="7" t="str">
        <f aca="false">IF(AND($D174="",$E174=""),"",$H$2+SUMIF($F$3:$F174,"Mobile Money",$D$3:$D174)-SUMIF($F$3:$F174,"Mobile Money",$E$3:$E174))</f>
        <v/>
      </c>
    </row>
    <row r="175" customFormat="false" ht="15" hidden="false" customHeight="false" outlineLevel="0" collapsed="false">
      <c r="A175" s="2"/>
      <c r="B175" s="4"/>
      <c r="C175" s="4"/>
      <c r="D175" s="5"/>
      <c r="E175" s="5"/>
      <c r="F175" s="4"/>
      <c r="G175" s="7" t="str">
        <f aca="false">IF(AND($D175="",$E175=""),"",$G$2+SUMIF($F$3:$F175,"Espèces",$D$3:$D175)-SUMIF($F$3:$F175,"Espèces",$E$3:$E175))</f>
        <v/>
      </c>
      <c r="H175" s="7" t="str">
        <f aca="false">IF(AND($D175="",$E175=""),"",$H$2+SUMIF($F$3:$F175,"Mobile Money",$D$3:$D175)-SUMIF($F$3:$F175,"Mobile Money",$E$3:$E175))</f>
        <v/>
      </c>
    </row>
    <row r="176" customFormat="false" ht="15" hidden="false" customHeight="false" outlineLevel="0" collapsed="false">
      <c r="A176" s="2"/>
      <c r="B176" s="4"/>
      <c r="C176" s="4"/>
      <c r="D176" s="5"/>
      <c r="E176" s="5"/>
      <c r="F176" s="4"/>
      <c r="G176" s="7" t="str">
        <f aca="false">IF(AND($D176="",$E176=""),"",$G$2+SUMIF($F$3:$F176,"Espèces",$D$3:$D176)-SUMIF($F$3:$F176,"Espèces",$E$3:$E176))</f>
        <v/>
      </c>
      <c r="H176" s="7" t="str">
        <f aca="false">IF(AND($D176="",$E176=""),"",$H$2+SUMIF($F$3:$F176,"Mobile Money",$D$3:$D176)-SUMIF($F$3:$F176,"Mobile Money",$E$3:$E176))</f>
        <v/>
      </c>
    </row>
    <row r="177" customFormat="false" ht="15" hidden="false" customHeight="false" outlineLevel="0" collapsed="false">
      <c r="A177" s="2"/>
      <c r="B177" s="4"/>
      <c r="C177" s="4"/>
      <c r="D177" s="5"/>
      <c r="E177" s="5"/>
      <c r="F177" s="4"/>
      <c r="G177" s="7" t="str">
        <f aca="false">IF(AND($D177="",$E177=""),"",$G$2+SUMIF($F$3:$F177,"Espèces",$D$3:$D177)-SUMIF($F$3:$F177,"Espèces",$E$3:$E177))</f>
        <v/>
      </c>
      <c r="H177" s="7" t="str">
        <f aca="false">IF(AND($D177="",$E177=""),"",$H$2+SUMIF($F$3:$F177,"Mobile Money",$D$3:$D177)-SUMIF($F$3:$F177,"Mobile Money",$E$3:$E177))</f>
        <v/>
      </c>
    </row>
    <row r="178" customFormat="false" ht="15" hidden="false" customHeight="false" outlineLevel="0" collapsed="false">
      <c r="A178" s="2"/>
      <c r="B178" s="4"/>
      <c r="C178" s="4"/>
      <c r="D178" s="5"/>
      <c r="E178" s="5"/>
      <c r="F178" s="4"/>
      <c r="G178" s="7" t="str">
        <f aca="false">IF(AND($D178="",$E178=""),"",$G$2+SUMIF($F$3:$F178,"Espèces",$D$3:$D178)-SUMIF($F$3:$F178,"Espèces",$E$3:$E178))</f>
        <v/>
      </c>
      <c r="H178" s="7" t="str">
        <f aca="false">IF(AND($D178="",$E178=""),"",$H$2+SUMIF($F$3:$F178,"Mobile Money",$D$3:$D178)-SUMIF($F$3:$F178,"Mobile Money",$E$3:$E178))</f>
        <v/>
      </c>
    </row>
    <row r="179" customFormat="false" ht="15" hidden="false" customHeight="false" outlineLevel="0" collapsed="false">
      <c r="A179" s="2"/>
      <c r="B179" s="4"/>
      <c r="C179" s="4"/>
      <c r="D179" s="5"/>
      <c r="E179" s="5"/>
      <c r="F179" s="4"/>
      <c r="G179" s="7" t="str">
        <f aca="false">IF(AND($D179="",$E179=""),"",$G$2+SUMIF($F$3:$F179,"Espèces",$D$3:$D179)-SUMIF($F$3:$F179,"Espèces",$E$3:$E179))</f>
        <v/>
      </c>
      <c r="H179" s="7" t="str">
        <f aca="false">IF(AND($D179="",$E179=""),"",$H$2+SUMIF($F$3:$F179,"Mobile Money",$D$3:$D179)-SUMIF($F$3:$F179,"Mobile Money",$E$3:$E179))</f>
        <v/>
      </c>
    </row>
    <row r="180" customFormat="false" ht="15" hidden="false" customHeight="false" outlineLevel="0" collapsed="false">
      <c r="A180" s="2"/>
      <c r="B180" s="4"/>
      <c r="C180" s="4"/>
      <c r="D180" s="5"/>
      <c r="E180" s="5"/>
      <c r="F180" s="4"/>
      <c r="G180" s="7" t="str">
        <f aca="false">IF(AND($D180="",$E180=""),"",$G$2+SUMIF($F$3:$F180,"Espèces",$D$3:$D180)-SUMIF($F$3:$F180,"Espèces",$E$3:$E180))</f>
        <v/>
      </c>
      <c r="H180" s="7" t="str">
        <f aca="false">IF(AND($D180="",$E180=""),"",$H$2+SUMIF($F$3:$F180,"Mobile Money",$D$3:$D180)-SUMIF($F$3:$F180,"Mobile Money",$E$3:$E180))</f>
        <v/>
      </c>
    </row>
    <row r="181" customFormat="false" ht="15" hidden="false" customHeight="false" outlineLevel="0" collapsed="false">
      <c r="A181" s="2"/>
      <c r="B181" s="4"/>
      <c r="C181" s="4"/>
      <c r="D181" s="5"/>
      <c r="E181" s="5"/>
      <c r="F181" s="4"/>
      <c r="G181" s="7" t="str">
        <f aca="false">IF(AND($D181="",$E181=""),"",$G$2+SUMIF($F$3:$F181,"Espèces",$D$3:$D181)-SUMIF($F$3:$F181,"Espèces",$E$3:$E181))</f>
        <v/>
      </c>
      <c r="H181" s="7" t="str">
        <f aca="false">IF(AND($D181="",$E181=""),"",$H$2+SUMIF($F$3:$F181,"Mobile Money",$D$3:$D181)-SUMIF($F$3:$F181,"Mobile Money",$E$3:$E181))</f>
        <v/>
      </c>
    </row>
    <row r="182" customFormat="false" ht="15" hidden="false" customHeight="false" outlineLevel="0" collapsed="false">
      <c r="A182" s="2"/>
      <c r="B182" s="4"/>
      <c r="C182" s="4"/>
      <c r="D182" s="5"/>
      <c r="E182" s="5"/>
      <c r="F182" s="4"/>
      <c r="G182" s="7" t="str">
        <f aca="false">IF(AND($D182="",$E182=""),"",$G$2+SUMIF($F$3:$F182,"Espèces",$D$3:$D182)-SUMIF($F$3:$F182,"Espèces",$E$3:$E182))</f>
        <v/>
      </c>
      <c r="H182" s="7" t="str">
        <f aca="false">IF(AND($D182="",$E182=""),"",$H$2+SUMIF($F$3:$F182,"Mobile Money",$D$3:$D182)-SUMIF($F$3:$F182,"Mobile Money",$E$3:$E182))</f>
        <v/>
      </c>
    </row>
    <row r="183" customFormat="false" ht="15" hidden="false" customHeight="false" outlineLevel="0" collapsed="false">
      <c r="A183" s="2"/>
      <c r="B183" s="4"/>
      <c r="C183" s="4"/>
      <c r="D183" s="5"/>
      <c r="E183" s="5"/>
      <c r="F183" s="4"/>
      <c r="G183" s="7" t="str">
        <f aca="false">IF(AND($D183="",$E183=""),"",$G$2+SUMIF($F$3:$F183,"Espèces",$D$3:$D183)-SUMIF($F$3:$F183,"Espèces",$E$3:$E183))</f>
        <v/>
      </c>
      <c r="H183" s="7" t="str">
        <f aca="false">IF(AND($D183="",$E183=""),"",$H$2+SUMIF($F$3:$F183,"Mobile Money",$D$3:$D183)-SUMIF($F$3:$F183,"Mobile Money",$E$3:$E183))</f>
        <v/>
      </c>
    </row>
    <row r="184" customFormat="false" ht="15" hidden="false" customHeight="false" outlineLevel="0" collapsed="false">
      <c r="A184" s="2"/>
      <c r="B184" s="4"/>
      <c r="C184" s="4"/>
      <c r="D184" s="5"/>
      <c r="E184" s="5"/>
      <c r="F184" s="4"/>
      <c r="G184" s="7" t="str">
        <f aca="false">IF(AND($D184="",$E184=""),"",$G$2+SUMIF($F$3:$F184,"Espèces",$D$3:$D184)-SUMIF($F$3:$F184,"Espèces",$E$3:$E184))</f>
        <v/>
      </c>
      <c r="H184" s="7" t="str">
        <f aca="false">IF(AND($D184="",$E184=""),"",$H$2+SUMIF($F$3:$F184,"Mobile Money",$D$3:$D184)-SUMIF($F$3:$F184,"Mobile Money",$E$3:$E184))</f>
        <v/>
      </c>
    </row>
    <row r="185" customFormat="false" ht="15" hidden="false" customHeight="false" outlineLevel="0" collapsed="false">
      <c r="A185" s="2"/>
      <c r="B185" s="4"/>
      <c r="C185" s="4"/>
      <c r="D185" s="5"/>
      <c r="E185" s="5"/>
      <c r="F185" s="4"/>
      <c r="G185" s="7" t="str">
        <f aca="false">IF(AND($D185="",$E185=""),"",$G$2+SUMIF($F$3:$F185,"Espèces",$D$3:$D185)-SUMIF($F$3:$F185,"Espèces",$E$3:$E185))</f>
        <v/>
      </c>
      <c r="H185" s="7" t="str">
        <f aca="false">IF(AND($D185="",$E185=""),"",$H$2+SUMIF($F$3:$F185,"Mobile Money",$D$3:$D185)-SUMIF($F$3:$F185,"Mobile Money",$E$3:$E185))</f>
        <v/>
      </c>
    </row>
    <row r="186" customFormat="false" ht="15" hidden="false" customHeight="false" outlineLevel="0" collapsed="false">
      <c r="A186" s="2"/>
      <c r="B186" s="4"/>
      <c r="C186" s="4"/>
      <c r="D186" s="5"/>
      <c r="E186" s="5"/>
      <c r="F186" s="4"/>
      <c r="G186" s="7" t="str">
        <f aca="false">IF(AND($D186="",$E186=""),"",$G$2+SUMIF($F$3:$F186,"Espèces",$D$3:$D186)-SUMIF($F$3:$F186,"Espèces",$E$3:$E186))</f>
        <v/>
      </c>
      <c r="H186" s="7" t="str">
        <f aca="false">IF(AND($D186="",$E186=""),"",$H$2+SUMIF($F$3:$F186,"Mobile Money",$D$3:$D186)-SUMIF($F$3:$F186,"Mobile Money",$E$3:$E186))</f>
        <v/>
      </c>
    </row>
    <row r="187" customFormat="false" ht="15" hidden="false" customHeight="false" outlineLevel="0" collapsed="false">
      <c r="A187" s="2"/>
      <c r="B187" s="4"/>
      <c r="C187" s="4"/>
      <c r="D187" s="5"/>
      <c r="E187" s="5"/>
      <c r="F187" s="4"/>
      <c r="G187" s="7" t="str">
        <f aca="false">IF(AND($D187="",$E187=""),"",$G$2+SUMIF($F$3:$F187,"Espèces",$D$3:$D187)-SUMIF($F$3:$F187,"Espèces",$E$3:$E187))</f>
        <v/>
      </c>
      <c r="H187" s="7" t="str">
        <f aca="false">IF(AND($D187="",$E187=""),"",$H$2+SUMIF($F$3:$F187,"Mobile Money",$D$3:$D187)-SUMIF($F$3:$F187,"Mobile Money",$E$3:$E187))</f>
        <v/>
      </c>
    </row>
    <row r="188" customFormat="false" ht="15" hidden="false" customHeight="false" outlineLevel="0" collapsed="false">
      <c r="A188" s="2"/>
      <c r="B188" s="4"/>
      <c r="C188" s="4"/>
      <c r="D188" s="5"/>
      <c r="E188" s="5"/>
      <c r="F188" s="4"/>
      <c r="G188" s="7" t="str">
        <f aca="false">IF(AND($D188="",$E188=""),"",$G$2+SUMIF($F$3:$F188,"Espèces",$D$3:$D188)-SUMIF($F$3:$F188,"Espèces",$E$3:$E188))</f>
        <v/>
      </c>
      <c r="H188" s="7" t="str">
        <f aca="false">IF(AND($D188="",$E188=""),"",$H$2+SUMIF($F$3:$F188,"Mobile Money",$D$3:$D188)-SUMIF($F$3:$F188,"Mobile Money",$E$3:$E188))</f>
        <v/>
      </c>
    </row>
    <row r="189" customFormat="false" ht="15" hidden="false" customHeight="false" outlineLevel="0" collapsed="false">
      <c r="A189" s="2"/>
      <c r="B189" s="4"/>
      <c r="C189" s="4"/>
      <c r="D189" s="5"/>
      <c r="E189" s="5"/>
      <c r="F189" s="4"/>
      <c r="G189" s="7" t="str">
        <f aca="false">IF(AND($D189="",$E189=""),"",$G$2+SUMIF($F$3:$F189,"Espèces",$D$3:$D189)-SUMIF($F$3:$F189,"Espèces",$E$3:$E189))</f>
        <v/>
      </c>
      <c r="H189" s="7" t="str">
        <f aca="false">IF(AND($D189="",$E189=""),"",$H$2+SUMIF($F$3:$F189,"Mobile Money",$D$3:$D189)-SUMIF($F$3:$F189,"Mobile Money",$E$3:$E189))</f>
        <v/>
      </c>
    </row>
    <row r="190" customFormat="false" ht="15" hidden="false" customHeight="false" outlineLevel="0" collapsed="false">
      <c r="A190" s="2"/>
      <c r="B190" s="4"/>
      <c r="C190" s="4"/>
      <c r="D190" s="5"/>
      <c r="E190" s="5"/>
      <c r="F190" s="4"/>
      <c r="G190" s="7" t="str">
        <f aca="false">IF(AND($D190="",$E190=""),"",$G$2+SUMIF($F$3:$F190,"Espèces",$D$3:$D190)-SUMIF($F$3:$F190,"Espèces",$E$3:$E190))</f>
        <v/>
      </c>
      <c r="H190" s="7" t="str">
        <f aca="false">IF(AND($D190="",$E190=""),"",$H$2+SUMIF($F$3:$F190,"Mobile Money",$D$3:$D190)-SUMIF($F$3:$F190,"Mobile Money",$E$3:$E190))</f>
        <v/>
      </c>
    </row>
    <row r="191" customFormat="false" ht="15" hidden="false" customHeight="false" outlineLevel="0" collapsed="false">
      <c r="A191" s="2"/>
      <c r="B191" s="4"/>
      <c r="C191" s="4"/>
      <c r="D191" s="5"/>
      <c r="E191" s="5"/>
      <c r="F191" s="4"/>
      <c r="G191" s="7" t="str">
        <f aca="false">IF(AND($D191="",$E191=""),"",$G$2+SUMIF($F$3:$F191,"Espèces",$D$3:$D191)-SUMIF($F$3:$F191,"Espèces",$E$3:$E191))</f>
        <v/>
      </c>
      <c r="H191" s="7" t="str">
        <f aca="false">IF(AND($D191="",$E191=""),"",$H$2+SUMIF($F$3:$F191,"Mobile Money",$D$3:$D191)-SUMIF($F$3:$F191,"Mobile Money",$E$3:$E191))</f>
        <v/>
      </c>
    </row>
    <row r="192" customFormat="false" ht="15" hidden="false" customHeight="false" outlineLevel="0" collapsed="false">
      <c r="A192" s="2"/>
      <c r="B192" s="4"/>
      <c r="C192" s="4"/>
      <c r="D192" s="5"/>
      <c r="E192" s="5"/>
      <c r="F192" s="4"/>
      <c r="G192" s="7" t="str">
        <f aca="false">IF(AND($D192="",$E192=""),"",$G$2+SUMIF($F$3:$F192,"Espèces",$D$3:$D192)-SUMIF($F$3:$F192,"Espèces",$E$3:$E192))</f>
        <v/>
      </c>
      <c r="H192" s="7" t="str">
        <f aca="false">IF(AND($D192="",$E192=""),"",$H$2+SUMIF($F$3:$F192,"Mobile Money",$D$3:$D192)-SUMIF($F$3:$F192,"Mobile Money",$E$3:$E192))</f>
        <v/>
      </c>
    </row>
    <row r="193" customFormat="false" ht="15" hidden="false" customHeight="false" outlineLevel="0" collapsed="false">
      <c r="A193" s="2"/>
      <c r="B193" s="4"/>
      <c r="C193" s="4"/>
      <c r="D193" s="5"/>
      <c r="E193" s="5"/>
      <c r="F193" s="4"/>
      <c r="G193" s="7" t="str">
        <f aca="false">IF(AND($D193="",$E193=""),"",$G$2+SUMIF($F$3:$F193,"Espèces",$D$3:$D193)-SUMIF($F$3:$F193,"Espèces",$E$3:$E193))</f>
        <v/>
      </c>
      <c r="H193" s="7" t="str">
        <f aca="false">IF(AND($D193="",$E193=""),"",$H$2+SUMIF($F$3:$F193,"Mobile Money",$D$3:$D193)-SUMIF($F$3:$F193,"Mobile Money",$E$3:$E193))</f>
        <v/>
      </c>
    </row>
    <row r="194" customFormat="false" ht="15" hidden="false" customHeight="false" outlineLevel="0" collapsed="false">
      <c r="A194" s="2"/>
      <c r="B194" s="4"/>
      <c r="C194" s="4"/>
      <c r="D194" s="5"/>
      <c r="E194" s="5"/>
      <c r="F194" s="4"/>
      <c r="G194" s="7" t="str">
        <f aca="false">IF(AND($D194="",$E194=""),"",$G$2+SUMIF($F$3:$F194,"Espèces",$D$3:$D194)-SUMIF($F$3:$F194,"Espèces",$E$3:$E194))</f>
        <v/>
      </c>
      <c r="H194" s="7" t="str">
        <f aca="false">IF(AND($D194="",$E194=""),"",$H$2+SUMIF($F$3:$F194,"Mobile Money",$D$3:$D194)-SUMIF($F$3:$F194,"Mobile Money",$E$3:$E194))</f>
        <v/>
      </c>
    </row>
    <row r="195" customFormat="false" ht="15" hidden="false" customHeight="false" outlineLevel="0" collapsed="false">
      <c r="A195" s="2"/>
      <c r="B195" s="4"/>
      <c r="C195" s="4"/>
      <c r="D195" s="5"/>
      <c r="E195" s="5"/>
      <c r="F195" s="4"/>
      <c r="G195" s="7" t="str">
        <f aca="false">IF(AND($D195="",$E195=""),"",$G$2+SUMIF($F$3:$F195,"Espèces",$D$3:$D195)-SUMIF($F$3:$F195,"Espèces",$E$3:$E195))</f>
        <v/>
      </c>
      <c r="H195" s="7" t="str">
        <f aca="false">IF(AND($D195="",$E195=""),"",$H$2+SUMIF($F$3:$F195,"Mobile Money",$D$3:$D195)-SUMIF($F$3:$F195,"Mobile Money",$E$3:$E195))</f>
        <v/>
      </c>
    </row>
    <row r="196" customFormat="false" ht="15" hidden="false" customHeight="false" outlineLevel="0" collapsed="false">
      <c r="A196" s="2"/>
      <c r="B196" s="4"/>
      <c r="C196" s="4"/>
      <c r="D196" s="5"/>
      <c r="E196" s="5"/>
      <c r="F196" s="4"/>
      <c r="G196" s="7" t="str">
        <f aca="false">IF(AND($D196="",$E196=""),"",$G$2+SUMIF($F$3:$F196,"Espèces",$D$3:$D196)-SUMIF($F$3:$F196,"Espèces",$E$3:$E196))</f>
        <v/>
      </c>
      <c r="H196" s="7" t="str">
        <f aca="false">IF(AND($D196="",$E196=""),"",$H$2+SUMIF($F$3:$F196,"Mobile Money",$D$3:$D196)-SUMIF($F$3:$F196,"Mobile Money",$E$3:$E196))</f>
        <v/>
      </c>
    </row>
    <row r="197" customFormat="false" ht="15" hidden="false" customHeight="false" outlineLevel="0" collapsed="false">
      <c r="A197" s="2"/>
      <c r="B197" s="4"/>
      <c r="C197" s="4"/>
      <c r="D197" s="5"/>
      <c r="E197" s="5"/>
      <c r="F197" s="4"/>
      <c r="G197" s="7" t="str">
        <f aca="false">IF(AND($D197="",$E197=""),"",$G$2+SUMIF($F$3:$F197,"Espèces",$D$3:$D197)-SUMIF($F$3:$F197,"Espèces",$E$3:$E197))</f>
        <v/>
      </c>
      <c r="H197" s="7" t="str">
        <f aca="false">IF(AND($D197="",$E197=""),"",$H$2+SUMIF($F$3:$F197,"Mobile Money",$D$3:$D197)-SUMIF($F$3:$F197,"Mobile Money",$E$3:$E197))</f>
        <v/>
      </c>
    </row>
    <row r="198" customFormat="false" ht="15" hidden="false" customHeight="false" outlineLevel="0" collapsed="false">
      <c r="A198" s="2"/>
      <c r="B198" s="4"/>
      <c r="C198" s="4"/>
      <c r="D198" s="5"/>
      <c r="E198" s="5"/>
      <c r="F198" s="4"/>
      <c r="G198" s="7" t="str">
        <f aca="false">IF(AND($D198="",$E198=""),"",$G$2+SUMIF($F$3:$F198,"Espèces",$D$3:$D198)-SUMIF($F$3:$F198,"Espèces",$E$3:$E198))</f>
        <v/>
      </c>
      <c r="H198" s="7" t="str">
        <f aca="false">IF(AND($D198="",$E198=""),"",$H$2+SUMIF($F$3:$F198,"Mobile Money",$D$3:$D198)-SUMIF($F$3:$F198,"Mobile Money",$E$3:$E198))</f>
        <v/>
      </c>
    </row>
    <row r="199" customFormat="false" ht="15" hidden="false" customHeight="false" outlineLevel="0" collapsed="false">
      <c r="A199" s="2"/>
      <c r="B199" s="4"/>
      <c r="C199" s="4"/>
      <c r="D199" s="5"/>
      <c r="E199" s="5"/>
      <c r="F199" s="4"/>
      <c r="G199" s="7" t="str">
        <f aca="false">IF(AND($D199="",$E199=""),"",$G$2+SUMIF($F$3:$F199,"Espèces",$D$3:$D199)-SUMIF($F$3:$F199,"Espèces",$E$3:$E199))</f>
        <v/>
      </c>
      <c r="H199" s="7" t="str">
        <f aca="false">IF(AND($D199="",$E199=""),"",$H$2+SUMIF($F$3:$F199,"Mobile Money",$D$3:$D199)-SUMIF($F$3:$F199,"Mobile Money",$E$3:$E199))</f>
        <v/>
      </c>
    </row>
    <row r="200" customFormat="false" ht="15" hidden="false" customHeight="false" outlineLevel="0" collapsed="false">
      <c r="A200" s="2"/>
      <c r="B200" s="4"/>
      <c r="C200" s="4"/>
      <c r="D200" s="5"/>
      <c r="E200" s="5"/>
      <c r="F200" s="4"/>
      <c r="G200" s="7" t="str">
        <f aca="false">IF(AND($D200="",$E200=""),"",$G$2+SUMIF($F$3:$F200,"Espèces",$D$3:$D200)-SUMIF($F$3:$F200,"Espèces",$E$3:$E200))</f>
        <v/>
      </c>
      <c r="H200" s="7" t="str">
        <f aca="false">IF(AND($D200="",$E200=""),"",$H$2+SUMIF($F$3:$F200,"Mobile Money",$D$3:$D200)-SUMIF($F$3:$F200,"Mobile Money",$E$3:$E200))</f>
        <v/>
      </c>
    </row>
    <row r="201" customFormat="false" ht="15" hidden="false" customHeight="false" outlineLevel="0" collapsed="false">
      <c r="A201" s="2"/>
      <c r="B201" s="4"/>
      <c r="C201" s="4"/>
      <c r="D201" s="5"/>
      <c r="E201" s="5"/>
      <c r="F201" s="4"/>
      <c r="G201" s="7" t="str">
        <f aca="false">IF(AND($D201="",$E201=""),"",$G$2+SUMIF($F$3:$F201,"Espèces",$D$3:$D201)-SUMIF($F$3:$F201,"Espèces",$E$3:$E201))</f>
        <v/>
      </c>
      <c r="H201" s="7" t="str">
        <f aca="false">IF(AND($D201="",$E201=""),"",$H$2+SUMIF($F$3:$F201,"Mobile Money",$D$3:$D201)-SUMIF($F$3:$F201,"Mobile Money",$E$3:$E201))</f>
        <v/>
      </c>
    </row>
    <row r="202" customFormat="false" ht="15" hidden="false" customHeight="false" outlineLevel="0" collapsed="false">
      <c r="A202" s="2"/>
      <c r="B202" s="4"/>
      <c r="C202" s="4"/>
      <c r="D202" s="5"/>
      <c r="E202" s="5"/>
      <c r="F202" s="4"/>
      <c r="G202" s="7" t="str">
        <f aca="false">IF(AND($D202="",$E202=""),"",$G$2+SUMIF($F$3:$F202,"Espèces",$D$3:$D202)-SUMIF($F$3:$F202,"Espèces",$E$3:$E202))</f>
        <v/>
      </c>
      <c r="H202" s="7" t="str">
        <f aca="false">IF(AND($D202="",$E202=""),"",$H$2+SUMIF($F$3:$F202,"Mobile Money",$D$3:$D202)-SUMIF($F$3:$F202,"Mobile Money",$E$3:$E202))</f>
        <v/>
      </c>
    </row>
    <row r="203" customFormat="false" ht="15" hidden="false" customHeight="false" outlineLevel="0" collapsed="false">
      <c r="A203" s="2"/>
      <c r="B203" s="4"/>
      <c r="C203" s="4"/>
      <c r="D203" s="5"/>
      <c r="E203" s="5"/>
      <c r="F203" s="4"/>
      <c r="G203" s="7" t="str">
        <f aca="false">IF(AND($D203="",$E203=""),"",$G$2+SUMIF($F$3:$F203,"Espèces",$D$3:$D203)-SUMIF($F$3:$F203,"Espèces",$E$3:$E203))</f>
        <v/>
      </c>
      <c r="H203" s="7" t="str">
        <f aca="false">IF(AND($D203="",$E203=""),"",$H$2+SUMIF($F$3:$F203,"Mobile Money",$D$3:$D203)-SUMIF($F$3:$F203,"Mobile Money",$E$3:$E203))</f>
        <v/>
      </c>
    </row>
    <row r="204" customFormat="false" ht="15" hidden="false" customHeight="false" outlineLevel="0" collapsed="false">
      <c r="A204" s="2"/>
      <c r="B204" s="4"/>
      <c r="C204" s="4"/>
      <c r="D204" s="5"/>
      <c r="E204" s="5"/>
      <c r="F204" s="4"/>
      <c r="G204" s="7" t="str">
        <f aca="false">IF(AND($D204="",$E204=""),"",$G$2+SUMIF($F$3:$F204,"Espèces",$D$3:$D204)-SUMIF($F$3:$F204,"Espèces",$E$3:$E204))</f>
        <v/>
      </c>
      <c r="H204" s="7" t="str">
        <f aca="false">IF(AND($D204="",$E204=""),"",$H$2+SUMIF($F$3:$F204,"Mobile Money",$D$3:$D204)-SUMIF($F$3:$F204,"Mobile Money",$E$3:$E204))</f>
        <v/>
      </c>
    </row>
    <row r="205" customFormat="false" ht="15" hidden="false" customHeight="false" outlineLevel="0" collapsed="false">
      <c r="A205" s="2"/>
      <c r="B205" s="4"/>
      <c r="C205" s="4"/>
      <c r="D205" s="5"/>
      <c r="E205" s="5"/>
      <c r="F205" s="4"/>
      <c r="G205" s="7" t="str">
        <f aca="false">IF(AND($D205="",$E205=""),"",$G$2+SUMIF($F$3:$F205,"Espèces",$D$3:$D205)-SUMIF($F$3:$F205,"Espèces",$E$3:$E205))</f>
        <v/>
      </c>
      <c r="H205" s="7" t="str">
        <f aca="false">IF(AND($D205="",$E205=""),"",$H$2+SUMIF($F$3:$F205,"Mobile Money",$D$3:$D205)-SUMIF($F$3:$F205,"Mobile Money",$E$3:$E205))</f>
        <v/>
      </c>
    </row>
    <row r="206" customFormat="false" ht="15" hidden="false" customHeight="false" outlineLevel="0" collapsed="false">
      <c r="A206" s="2"/>
      <c r="B206" s="4"/>
      <c r="C206" s="4"/>
      <c r="D206" s="5"/>
      <c r="E206" s="5"/>
      <c r="F206" s="4"/>
      <c r="G206" s="7" t="str">
        <f aca="false">IF(AND($D206="",$E206=""),"",$G$2+SUMIF($F$3:$F206,"Espèces",$D$3:$D206)-SUMIF($F$3:$F206,"Espèces",$E$3:$E206))</f>
        <v/>
      </c>
      <c r="H206" s="7" t="str">
        <f aca="false">IF(AND($D206="",$E206=""),"",$H$2+SUMIF($F$3:$F206,"Mobile Money",$D$3:$D206)-SUMIF($F$3:$F206,"Mobile Money",$E$3:$E206))</f>
        <v/>
      </c>
    </row>
    <row r="207" customFormat="false" ht="15" hidden="false" customHeight="false" outlineLevel="0" collapsed="false">
      <c r="A207" s="2"/>
      <c r="B207" s="4"/>
      <c r="C207" s="4"/>
      <c r="D207" s="5"/>
      <c r="E207" s="5"/>
      <c r="F207" s="4"/>
      <c r="G207" s="7" t="str">
        <f aca="false">IF(AND($D207="",$E207=""),"",$G$2+SUMIF($F$3:$F207,"Espèces",$D$3:$D207)-SUMIF($F$3:$F207,"Espèces",$E$3:$E207))</f>
        <v/>
      </c>
      <c r="H207" s="7" t="str">
        <f aca="false">IF(AND($D207="",$E207=""),"",$H$2+SUMIF($F$3:$F207,"Mobile Money",$D$3:$D207)-SUMIF($F$3:$F207,"Mobile Money",$E$3:$E207))</f>
        <v/>
      </c>
    </row>
    <row r="208" customFormat="false" ht="15" hidden="false" customHeight="false" outlineLevel="0" collapsed="false">
      <c r="A208" s="2"/>
      <c r="B208" s="4"/>
      <c r="C208" s="4"/>
      <c r="D208" s="5"/>
      <c r="E208" s="5"/>
      <c r="F208" s="4"/>
      <c r="G208" s="7" t="str">
        <f aca="false">IF(AND($D208="",$E208=""),"",$G$2+SUMIF($F$3:$F208,"Espèces",$D$3:$D208)-SUMIF($F$3:$F208,"Espèces",$E$3:$E208))</f>
        <v/>
      </c>
      <c r="H208" s="7" t="str">
        <f aca="false">IF(AND($D208="",$E208=""),"",$H$2+SUMIF($F$3:$F208,"Mobile Money",$D$3:$D208)-SUMIF($F$3:$F208,"Mobile Money",$E$3:$E208))</f>
        <v/>
      </c>
    </row>
    <row r="209" customFormat="false" ht="15" hidden="false" customHeight="false" outlineLevel="0" collapsed="false">
      <c r="A209" s="2"/>
      <c r="B209" s="4"/>
      <c r="C209" s="4"/>
      <c r="D209" s="5"/>
      <c r="E209" s="5"/>
      <c r="F209" s="4"/>
      <c r="G209" s="7" t="str">
        <f aca="false">IF(AND($D209="",$E209=""),"",$G$2+SUMIF($F$3:$F209,"Espèces",$D$3:$D209)-SUMIF($F$3:$F209,"Espèces",$E$3:$E209))</f>
        <v/>
      </c>
      <c r="H209" s="7" t="str">
        <f aca="false">IF(AND($D209="",$E209=""),"",$H$2+SUMIF($F$3:$F209,"Mobile Money",$D$3:$D209)-SUMIF($F$3:$F209,"Mobile Money",$E$3:$E209))</f>
        <v/>
      </c>
    </row>
    <row r="210" customFormat="false" ht="15" hidden="false" customHeight="false" outlineLevel="0" collapsed="false">
      <c r="A210" s="2"/>
      <c r="B210" s="4"/>
      <c r="C210" s="4"/>
      <c r="D210" s="5"/>
      <c r="E210" s="5"/>
      <c r="F210" s="4"/>
      <c r="G210" s="7" t="str">
        <f aca="false">IF(AND($D210="",$E210=""),"",$G$2+SUMIF($F$3:$F210,"Espèces",$D$3:$D210)-SUMIF($F$3:$F210,"Espèces",$E$3:$E210))</f>
        <v/>
      </c>
      <c r="H210" s="7" t="str">
        <f aca="false">IF(AND($D210="",$E210=""),"",$H$2+SUMIF($F$3:$F210,"Mobile Money",$D$3:$D210)-SUMIF($F$3:$F210,"Mobile Money",$E$3:$E210))</f>
        <v/>
      </c>
    </row>
    <row r="211" customFormat="false" ht="15" hidden="false" customHeight="false" outlineLevel="0" collapsed="false">
      <c r="A211" s="2"/>
      <c r="B211" s="4"/>
      <c r="C211" s="4"/>
      <c r="D211" s="5"/>
      <c r="E211" s="5"/>
      <c r="F211" s="4"/>
      <c r="G211" s="7" t="str">
        <f aca="false">IF(AND($D211="",$E211=""),"",$G$2+SUMIF($F$3:$F211,"Espèces",$D$3:$D211)-SUMIF($F$3:$F211,"Espèces",$E$3:$E211))</f>
        <v/>
      </c>
      <c r="H211" s="7" t="str">
        <f aca="false">IF(AND($D211="",$E211=""),"",$H$2+SUMIF($F$3:$F211,"Mobile Money",$D$3:$D211)-SUMIF($F$3:$F211,"Mobile Money",$E$3:$E211))</f>
        <v/>
      </c>
    </row>
    <row r="212" customFormat="false" ht="15" hidden="false" customHeight="false" outlineLevel="0" collapsed="false">
      <c r="A212" s="2"/>
      <c r="B212" s="4"/>
      <c r="C212" s="4"/>
      <c r="D212" s="5"/>
      <c r="E212" s="5"/>
      <c r="F212" s="4"/>
      <c r="G212" s="7" t="str">
        <f aca="false">IF(AND($D212="",$E212=""),"",$G$2+SUMIF($F$3:$F212,"Espèces",$D$3:$D212)-SUMIF($F$3:$F212,"Espèces",$E$3:$E212))</f>
        <v/>
      </c>
      <c r="H212" s="7" t="str">
        <f aca="false">IF(AND($D212="",$E212=""),"",$H$2+SUMIF($F$3:$F212,"Mobile Money",$D$3:$D212)-SUMIF($F$3:$F212,"Mobile Money",$E$3:$E212))</f>
        <v/>
      </c>
    </row>
    <row r="213" customFormat="false" ht="15" hidden="false" customHeight="false" outlineLevel="0" collapsed="false">
      <c r="A213" s="2"/>
      <c r="B213" s="4"/>
      <c r="C213" s="4"/>
      <c r="D213" s="5"/>
      <c r="E213" s="5"/>
      <c r="F213" s="4"/>
      <c r="G213" s="7" t="str">
        <f aca="false">IF(AND($D213="",$E213=""),"",$G$2+SUMIF($F$3:$F213,"Espèces",$D$3:$D213)-SUMIF($F$3:$F213,"Espèces",$E$3:$E213))</f>
        <v/>
      </c>
      <c r="H213" s="7" t="str">
        <f aca="false">IF(AND($D213="",$E213=""),"",$H$2+SUMIF($F$3:$F213,"Mobile Money",$D$3:$D213)-SUMIF($F$3:$F213,"Mobile Money",$E$3:$E213))</f>
        <v/>
      </c>
    </row>
    <row r="214" customFormat="false" ht="15" hidden="false" customHeight="false" outlineLevel="0" collapsed="false">
      <c r="A214" s="2"/>
      <c r="B214" s="4"/>
      <c r="C214" s="4"/>
      <c r="D214" s="5"/>
      <c r="E214" s="5"/>
      <c r="F214" s="4"/>
      <c r="G214" s="7" t="str">
        <f aca="false">IF(AND($D214="",$E214=""),"",$G$2+SUMIF($F$3:$F214,"Espèces",$D$3:$D214)-SUMIF($F$3:$F214,"Espèces",$E$3:$E214))</f>
        <v/>
      </c>
      <c r="H214" s="7" t="str">
        <f aca="false">IF(AND($D214="",$E214=""),"",$H$2+SUMIF($F$3:$F214,"Mobile Money",$D$3:$D214)-SUMIF($F$3:$F214,"Mobile Money",$E$3:$E214))</f>
        <v/>
      </c>
    </row>
    <row r="215" customFormat="false" ht="15" hidden="false" customHeight="false" outlineLevel="0" collapsed="false">
      <c r="A215" s="2"/>
      <c r="B215" s="4"/>
      <c r="C215" s="4"/>
      <c r="D215" s="5"/>
      <c r="E215" s="5"/>
      <c r="F215" s="4"/>
      <c r="G215" s="7" t="str">
        <f aca="false">IF(AND($D215="",$E215=""),"",$G$2+SUMIF($F$3:$F215,"Espèces",$D$3:$D215)-SUMIF($F$3:$F215,"Espèces",$E$3:$E215))</f>
        <v/>
      </c>
      <c r="H215" s="7" t="str">
        <f aca="false">IF(AND($D215="",$E215=""),"",$H$2+SUMIF($F$3:$F215,"Mobile Money",$D$3:$D215)-SUMIF($F$3:$F215,"Mobile Money",$E$3:$E215))</f>
        <v/>
      </c>
    </row>
    <row r="216" customFormat="false" ht="15" hidden="false" customHeight="false" outlineLevel="0" collapsed="false">
      <c r="A216" s="2"/>
      <c r="B216" s="4"/>
      <c r="C216" s="4"/>
      <c r="D216" s="5"/>
      <c r="E216" s="5"/>
      <c r="F216" s="4"/>
      <c r="G216" s="7" t="str">
        <f aca="false">IF(AND($D216="",$E216=""),"",$G$2+SUMIF($F$3:$F216,"Espèces",$D$3:$D216)-SUMIF($F$3:$F216,"Espèces",$E$3:$E216))</f>
        <v/>
      </c>
      <c r="H216" s="7" t="str">
        <f aca="false">IF(AND($D216="",$E216=""),"",$H$2+SUMIF($F$3:$F216,"Mobile Money",$D$3:$D216)-SUMIF($F$3:$F216,"Mobile Money",$E$3:$E216))</f>
        <v/>
      </c>
    </row>
    <row r="217" customFormat="false" ht="15" hidden="false" customHeight="false" outlineLevel="0" collapsed="false">
      <c r="A217" s="2"/>
      <c r="B217" s="4"/>
      <c r="C217" s="4"/>
      <c r="D217" s="5"/>
      <c r="E217" s="5"/>
      <c r="F217" s="4"/>
      <c r="G217" s="7" t="str">
        <f aca="false">IF(AND($D217="",$E217=""),"",$G$2+SUMIF($F$3:$F217,"Espèces",$D$3:$D217)-SUMIF($F$3:$F217,"Espèces",$E$3:$E217))</f>
        <v/>
      </c>
      <c r="H217" s="7" t="str">
        <f aca="false">IF(AND($D217="",$E217=""),"",$H$2+SUMIF($F$3:$F217,"Mobile Money",$D$3:$D217)-SUMIF($F$3:$F217,"Mobile Money",$E$3:$E217))</f>
        <v/>
      </c>
    </row>
    <row r="218" customFormat="false" ht="15" hidden="false" customHeight="false" outlineLevel="0" collapsed="false">
      <c r="A218" s="2"/>
      <c r="B218" s="4"/>
      <c r="C218" s="4"/>
      <c r="D218" s="5"/>
      <c r="E218" s="5"/>
      <c r="F218" s="4"/>
      <c r="G218" s="7" t="str">
        <f aca="false">IF(AND($D218="",$E218=""),"",$G$2+SUMIF($F$3:$F218,"Espèces",$D$3:$D218)-SUMIF($F$3:$F218,"Espèces",$E$3:$E218))</f>
        <v/>
      </c>
      <c r="H218" s="7" t="str">
        <f aca="false">IF(AND($D218="",$E218=""),"",$H$2+SUMIF($F$3:$F218,"Mobile Money",$D$3:$D218)-SUMIF($F$3:$F218,"Mobile Money",$E$3:$E218))</f>
        <v/>
      </c>
    </row>
    <row r="219" customFormat="false" ht="15" hidden="false" customHeight="false" outlineLevel="0" collapsed="false">
      <c r="A219" s="2"/>
      <c r="B219" s="4"/>
      <c r="C219" s="4"/>
      <c r="D219" s="5"/>
      <c r="E219" s="5"/>
      <c r="F219" s="4"/>
      <c r="G219" s="7" t="str">
        <f aca="false">IF(AND($D219="",$E219=""),"",$G$2+SUMIF($F$3:$F219,"Espèces",$D$3:$D219)-SUMIF($F$3:$F219,"Espèces",$E$3:$E219))</f>
        <v/>
      </c>
      <c r="H219" s="7" t="str">
        <f aca="false">IF(AND($D219="",$E219=""),"",$H$2+SUMIF($F$3:$F219,"Mobile Money",$D$3:$D219)-SUMIF($F$3:$F219,"Mobile Money",$E$3:$E219))</f>
        <v/>
      </c>
    </row>
    <row r="220" customFormat="false" ht="15" hidden="false" customHeight="false" outlineLevel="0" collapsed="false">
      <c r="A220" s="2"/>
      <c r="B220" s="4"/>
      <c r="C220" s="4"/>
      <c r="D220" s="5"/>
      <c r="E220" s="5"/>
      <c r="F220" s="4"/>
      <c r="G220" s="7" t="str">
        <f aca="false">IF(AND($D220="",$E220=""),"",$G$2+SUMIF($F$3:$F220,"Espèces",$D$3:$D220)-SUMIF($F$3:$F220,"Espèces",$E$3:$E220))</f>
        <v/>
      </c>
      <c r="H220" s="7" t="str">
        <f aca="false">IF(AND($D220="",$E220=""),"",$H$2+SUMIF($F$3:$F220,"Mobile Money",$D$3:$D220)-SUMIF($F$3:$F220,"Mobile Money",$E$3:$E220))</f>
        <v/>
      </c>
    </row>
    <row r="221" customFormat="false" ht="15" hidden="false" customHeight="false" outlineLevel="0" collapsed="false">
      <c r="A221" s="2"/>
      <c r="B221" s="4"/>
      <c r="C221" s="4"/>
      <c r="D221" s="5"/>
      <c r="E221" s="5"/>
      <c r="F221" s="4"/>
      <c r="G221" s="7" t="str">
        <f aca="false">IF(AND($D221="",$E221=""),"",$G$2+SUMIF($F$3:$F221,"Espèces",$D$3:$D221)-SUMIF($F$3:$F221,"Espèces",$E$3:$E221))</f>
        <v/>
      </c>
      <c r="H221" s="7" t="str">
        <f aca="false">IF(AND($D221="",$E221=""),"",$H$2+SUMIF($F$3:$F221,"Mobile Money",$D$3:$D221)-SUMIF($F$3:$F221,"Mobile Money",$E$3:$E221))</f>
        <v/>
      </c>
    </row>
    <row r="222" customFormat="false" ht="15" hidden="false" customHeight="false" outlineLevel="0" collapsed="false">
      <c r="A222" s="2"/>
      <c r="B222" s="4"/>
      <c r="C222" s="4"/>
      <c r="D222" s="5"/>
      <c r="E222" s="5"/>
      <c r="F222" s="4"/>
      <c r="G222" s="7" t="str">
        <f aca="false">IF(AND($D222="",$E222=""),"",$G$2+SUMIF($F$3:$F222,"Espèces",$D$3:$D222)-SUMIF($F$3:$F222,"Espèces",$E$3:$E222))</f>
        <v/>
      </c>
      <c r="H222" s="7" t="str">
        <f aca="false">IF(AND($D222="",$E222=""),"",$H$2+SUMIF($F$3:$F222,"Mobile Money",$D$3:$D222)-SUMIF($F$3:$F222,"Mobile Money",$E$3:$E222))</f>
        <v/>
      </c>
    </row>
    <row r="223" customFormat="false" ht="15" hidden="false" customHeight="false" outlineLevel="0" collapsed="false">
      <c r="A223" s="2"/>
      <c r="B223" s="4"/>
      <c r="C223" s="4"/>
      <c r="D223" s="5"/>
      <c r="E223" s="5"/>
      <c r="F223" s="4"/>
      <c r="G223" s="7" t="str">
        <f aca="false">IF(AND($D223="",$E223=""),"",$G$2+SUMIF($F$3:$F223,"Espèces",$D$3:$D223)-SUMIF($F$3:$F223,"Espèces",$E$3:$E223))</f>
        <v/>
      </c>
      <c r="H223" s="7" t="str">
        <f aca="false">IF(AND($D223="",$E223=""),"",$H$2+SUMIF($F$3:$F223,"Mobile Money",$D$3:$D223)-SUMIF($F$3:$F223,"Mobile Money",$E$3:$E223))</f>
        <v/>
      </c>
    </row>
    <row r="224" customFormat="false" ht="15" hidden="false" customHeight="false" outlineLevel="0" collapsed="false">
      <c r="A224" s="2"/>
      <c r="B224" s="4"/>
      <c r="C224" s="4"/>
      <c r="D224" s="5"/>
      <c r="E224" s="5"/>
      <c r="F224" s="4"/>
      <c r="G224" s="7" t="str">
        <f aca="false">IF(AND($D224="",$E224=""),"",$G$2+SUMIF($F$3:$F224,"Espèces",$D$3:$D224)-SUMIF($F$3:$F224,"Espèces",$E$3:$E224))</f>
        <v/>
      </c>
      <c r="H224" s="7" t="str">
        <f aca="false">IF(AND($D224="",$E224=""),"",$H$2+SUMIF($F$3:$F224,"Mobile Money",$D$3:$D224)-SUMIF($F$3:$F224,"Mobile Money",$E$3:$E224))</f>
        <v/>
      </c>
    </row>
    <row r="225" customFormat="false" ht="15" hidden="false" customHeight="false" outlineLevel="0" collapsed="false">
      <c r="A225" s="2"/>
      <c r="B225" s="4"/>
      <c r="C225" s="4"/>
      <c r="D225" s="5"/>
      <c r="E225" s="5"/>
      <c r="F225" s="4"/>
      <c r="G225" s="7" t="str">
        <f aca="false">IF(AND($D225="",$E225=""),"",$G$2+SUMIF($F$3:$F225,"Espèces",$D$3:$D225)-SUMIF($F$3:$F225,"Espèces",$E$3:$E225))</f>
        <v/>
      </c>
      <c r="H225" s="7" t="str">
        <f aca="false">IF(AND($D225="",$E225=""),"",$H$2+SUMIF($F$3:$F225,"Mobile Money",$D$3:$D225)-SUMIF($F$3:$F225,"Mobile Money",$E$3:$E225))</f>
        <v/>
      </c>
    </row>
    <row r="226" customFormat="false" ht="15" hidden="false" customHeight="false" outlineLevel="0" collapsed="false">
      <c r="A226" s="2"/>
      <c r="B226" s="4"/>
      <c r="C226" s="4"/>
      <c r="D226" s="5"/>
      <c r="E226" s="5"/>
      <c r="F226" s="4"/>
      <c r="G226" s="7" t="str">
        <f aca="false">IF(AND($D226="",$E226=""),"",$G$2+SUMIF($F$3:$F226,"Espèces",$D$3:$D226)-SUMIF($F$3:$F226,"Espèces",$E$3:$E226))</f>
        <v/>
      </c>
      <c r="H226" s="7" t="str">
        <f aca="false">IF(AND($D226="",$E226=""),"",$H$2+SUMIF($F$3:$F226,"Mobile Money",$D$3:$D226)-SUMIF($F$3:$F226,"Mobile Money",$E$3:$E226))</f>
        <v/>
      </c>
    </row>
    <row r="227" customFormat="false" ht="15" hidden="false" customHeight="false" outlineLevel="0" collapsed="false">
      <c r="A227" s="2"/>
      <c r="B227" s="4"/>
      <c r="C227" s="4"/>
      <c r="D227" s="5"/>
      <c r="E227" s="5"/>
      <c r="F227" s="4"/>
      <c r="G227" s="7" t="str">
        <f aca="false">IF(AND($D227="",$E227=""),"",$G$2+SUMIF($F$3:$F227,"Espèces",$D$3:$D227)-SUMIF($F$3:$F227,"Espèces",$E$3:$E227))</f>
        <v/>
      </c>
      <c r="H227" s="7" t="str">
        <f aca="false">IF(AND($D227="",$E227=""),"",$H$2+SUMIF($F$3:$F227,"Mobile Money",$D$3:$D227)-SUMIF($F$3:$F227,"Mobile Money",$E$3:$E227))</f>
        <v/>
      </c>
    </row>
    <row r="228" customFormat="false" ht="15" hidden="false" customHeight="false" outlineLevel="0" collapsed="false">
      <c r="A228" s="2"/>
      <c r="B228" s="4"/>
      <c r="C228" s="4"/>
      <c r="D228" s="5"/>
      <c r="E228" s="5"/>
      <c r="F228" s="4"/>
      <c r="G228" s="7" t="str">
        <f aca="false">IF(AND($D228="",$E228=""),"",$G$2+SUMIF($F$3:$F228,"Espèces",$D$3:$D228)-SUMIF($F$3:$F228,"Espèces",$E$3:$E228))</f>
        <v/>
      </c>
      <c r="H228" s="7" t="str">
        <f aca="false">IF(AND($D228="",$E228=""),"",$H$2+SUMIF($F$3:$F228,"Mobile Money",$D$3:$D228)-SUMIF($F$3:$F228,"Mobile Money",$E$3:$E228))</f>
        <v/>
      </c>
    </row>
    <row r="229" customFormat="false" ht="15" hidden="false" customHeight="false" outlineLevel="0" collapsed="false">
      <c r="A229" s="2"/>
      <c r="B229" s="4"/>
      <c r="C229" s="4"/>
      <c r="D229" s="5"/>
      <c r="E229" s="5"/>
      <c r="F229" s="4"/>
      <c r="G229" s="7" t="str">
        <f aca="false">IF(AND($D229="",$E229=""),"",$G$2+SUMIF($F$3:$F229,"Espèces",$D$3:$D229)-SUMIF($F$3:$F229,"Espèces",$E$3:$E229))</f>
        <v/>
      </c>
      <c r="H229" s="7" t="str">
        <f aca="false">IF(AND($D229="",$E229=""),"",$H$2+SUMIF($F$3:$F229,"Mobile Money",$D$3:$D229)-SUMIF($F$3:$F229,"Mobile Money",$E$3:$E229))</f>
        <v/>
      </c>
    </row>
    <row r="230" customFormat="false" ht="15" hidden="false" customHeight="false" outlineLevel="0" collapsed="false">
      <c r="A230" s="2"/>
      <c r="B230" s="4"/>
      <c r="C230" s="4"/>
      <c r="D230" s="5"/>
      <c r="E230" s="5"/>
      <c r="F230" s="4"/>
      <c r="G230" s="7" t="str">
        <f aca="false">IF(AND($D230="",$E230=""),"",$G$2+SUMIF($F$3:$F230,"Espèces",$D$3:$D230)-SUMIF($F$3:$F230,"Espèces",$E$3:$E230))</f>
        <v/>
      </c>
      <c r="H230" s="7" t="str">
        <f aca="false">IF(AND($D230="",$E230=""),"",$H$2+SUMIF($F$3:$F230,"Mobile Money",$D$3:$D230)-SUMIF($F$3:$F230,"Mobile Money",$E$3:$E230))</f>
        <v/>
      </c>
    </row>
    <row r="231" customFormat="false" ht="15" hidden="false" customHeight="false" outlineLevel="0" collapsed="false">
      <c r="A231" s="2"/>
      <c r="B231" s="4"/>
      <c r="C231" s="4"/>
      <c r="D231" s="5"/>
      <c r="E231" s="5"/>
      <c r="F231" s="4"/>
      <c r="G231" s="7" t="str">
        <f aca="false">IF(AND($D231="",$E231=""),"",$G$2+SUMIF($F$3:$F231,"Espèces",$D$3:$D231)-SUMIF($F$3:$F231,"Espèces",$E$3:$E231))</f>
        <v/>
      </c>
      <c r="H231" s="7" t="str">
        <f aca="false">IF(AND($D231="",$E231=""),"",$H$2+SUMIF($F$3:$F231,"Mobile Money",$D$3:$D231)-SUMIF($F$3:$F231,"Mobile Money",$E$3:$E231))</f>
        <v/>
      </c>
    </row>
    <row r="232" customFormat="false" ht="15" hidden="false" customHeight="false" outlineLevel="0" collapsed="false">
      <c r="A232" s="2"/>
      <c r="B232" s="4"/>
      <c r="C232" s="4"/>
      <c r="D232" s="5"/>
      <c r="E232" s="5"/>
      <c r="F232" s="4"/>
      <c r="G232" s="7" t="str">
        <f aca="false">IF(AND($D232="",$E232=""),"",$G$2+SUMIF($F$3:$F232,"Espèces",$D$3:$D232)-SUMIF($F$3:$F232,"Espèces",$E$3:$E232))</f>
        <v/>
      </c>
      <c r="H232" s="7" t="str">
        <f aca="false">IF(AND($D232="",$E232=""),"",$H$2+SUMIF($F$3:$F232,"Mobile Money",$D$3:$D232)-SUMIF($F$3:$F232,"Mobile Money",$E$3:$E232))</f>
        <v/>
      </c>
    </row>
    <row r="233" customFormat="false" ht="15" hidden="false" customHeight="false" outlineLevel="0" collapsed="false">
      <c r="A233" s="2"/>
      <c r="B233" s="4"/>
      <c r="C233" s="4"/>
      <c r="D233" s="5"/>
      <c r="E233" s="5"/>
      <c r="F233" s="4"/>
      <c r="G233" s="7" t="str">
        <f aca="false">IF(AND($D233="",$E233=""),"",$G$2+SUMIF($F$3:$F233,"Espèces",$D$3:$D233)-SUMIF($F$3:$F233,"Espèces",$E$3:$E233))</f>
        <v/>
      </c>
      <c r="H233" s="7" t="str">
        <f aca="false">IF(AND($D233="",$E233=""),"",$H$2+SUMIF($F$3:$F233,"Mobile Money",$D$3:$D233)-SUMIF($F$3:$F233,"Mobile Money",$E$3:$E233))</f>
        <v/>
      </c>
    </row>
    <row r="234" customFormat="false" ht="15" hidden="false" customHeight="false" outlineLevel="0" collapsed="false">
      <c r="A234" s="2"/>
      <c r="B234" s="4"/>
      <c r="C234" s="4"/>
      <c r="D234" s="5"/>
      <c r="E234" s="5"/>
      <c r="F234" s="4"/>
      <c r="G234" s="7" t="str">
        <f aca="false">IF(AND($D234="",$E234=""),"",$G$2+SUMIF($F$3:$F234,"Espèces",$D$3:$D234)-SUMIF($F$3:$F234,"Espèces",$E$3:$E234))</f>
        <v/>
      </c>
      <c r="H234" s="7" t="str">
        <f aca="false">IF(AND($D234="",$E234=""),"",$H$2+SUMIF($F$3:$F234,"Mobile Money",$D$3:$D234)-SUMIF($F$3:$F234,"Mobile Money",$E$3:$E234))</f>
        <v/>
      </c>
    </row>
    <row r="235" customFormat="false" ht="15" hidden="false" customHeight="false" outlineLevel="0" collapsed="false">
      <c r="A235" s="2"/>
      <c r="B235" s="4"/>
      <c r="C235" s="4"/>
      <c r="D235" s="5"/>
      <c r="E235" s="5"/>
      <c r="F235" s="4"/>
      <c r="G235" s="7" t="str">
        <f aca="false">IF(AND($D235="",$E235=""),"",$G$2+SUMIF($F$3:$F235,"Espèces",$D$3:$D235)-SUMIF($F$3:$F235,"Espèces",$E$3:$E235))</f>
        <v/>
      </c>
      <c r="H235" s="7" t="str">
        <f aca="false">IF(AND($D235="",$E235=""),"",$H$2+SUMIF($F$3:$F235,"Mobile Money",$D$3:$D235)-SUMIF($F$3:$F235,"Mobile Money",$E$3:$E235))</f>
        <v/>
      </c>
    </row>
    <row r="236" customFormat="false" ht="15" hidden="false" customHeight="false" outlineLevel="0" collapsed="false">
      <c r="A236" s="2"/>
      <c r="B236" s="4"/>
      <c r="C236" s="4"/>
      <c r="D236" s="5"/>
      <c r="E236" s="5"/>
      <c r="F236" s="4"/>
      <c r="G236" s="7" t="str">
        <f aca="false">IF(AND($D236="",$E236=""),"",$G$2+SUMIF($F$3:$F236,"Espèces",$D$3:$D236)-SUMIF($F$3:$F236,"Espèces",$E$3:$E236))</f>
        <v/>
      </c>
      <c r="H236" s="7" t="str">
        <f aca="false">IF(AND($D236="",$E236=""),"",$H$2+SUMIF($F$3:$F236,"Mobile Money",$D$3:$D236)-SUMIF($F$3:$F236,"Mobile Money",$E$3:$E236))</f>
        <v/>
      </c>
    </row>
    <row r="237" customFormat="false" ht="15" hidden="false" customHeight="false" outlineLevel="0" collapsed="false">
      <c r="A237" s="2"/>
      <c r="B237" s="4"/>
      <c r="C237" s="4"/>
      <c r="D237" s="5"/>
      <c r="E237" s="5"/>
      <c r="F237" s="4"/>
      <c r="G237" s="7" t="str">
        <f aca="false">IF(AND($D237="",$E237=""),"",$G$2+SUMIF($F$3:$F237,"Espèces",$D$3:$D237)-SUMIF($F$3:$F237,"Espèces",$E$3:$E237))</f>
        <v/>
      </c>
      <c r="H237" s="7" t="str">
        <f aca="false">IF(AND($D237="",$E237=""),"",$H$2+SUMIF($F$3:$F237,"Mobile Money",$D$3:$D237)-SUMIF($F$3:$F237,"Mobile Money",$E$3:$E237))</f>
        <v/>
      </c>
    </row>
    <row r="238" customFormat="false" ht="15" hidden="false" customHeight="false" outlineLevel="0" collapsed="false">
      <c r="A238" s="2"/>
      <c r="B238" s="4"/>
      <c r="C238" s="4"/>
      <c r="D238" s="5"/>
      <c r="E238" s="5"/>
      <c r="F238" s="4"/>
      <c r="G238" s="7" t="str">
        <f aca="false">IF(AND($D238="",$E238=""),"",$G$2+SUMIF($F$3:$F238,"Espèces",$D$3:$D238)-SUMIF($F$3:$F238,"Espèces",$E$3:$E238))</f>
        <v/>
      </c>
      <c r="H238" s="7" t="str">
        <f aca="false">IF(AND($D238="",$E238=""),"",$H$2+SUMIF($F$3:$F238,"Mobile Money",$D$3:$D238)-SUMIF($F$3:$F238,"Mobile Money",$E$3:$E238))</f>
        <v/>
      </c>
    </row>
    <row r="239" customFormat="false" ht="15" hidden="false" customHeight="false" outlineLevel="0" collapsed="false">
      <c r="A239" s="2"/>
      <c r="B239" s="4"/>
      <c r="C239" s="4"/>
      <c r="D239" s="5"/>
      <c r="E239" s="5"/>
      <c r="F239" s="4"/>
      <c r="G239" s="7" t="str">
        <f aca="false">IF(AND($D239="",$E239=""),"",$G$2+SUMIF($F$3:$F239,"Espèces",$D$3:$D239)-SUMIF($F$3:$F239,"Espèces",$E$3:$E239))</f>
        <v/>
      </c>
      <c r="H239" s="7" t="str">
        <f aca="false">IF(AND($D239="",$E239=""),"",$H$2+SUMIF($F$3:$F239,"Mobile Money",$D$3:$D239)-SUMIF($F$3:$F239,"Mobile Money",$E$3:$E239))</f>
        <v/>
      </c>
    </row>
    <row r="240" customFormat="false" ht="15" hidden="false" customHeight="false" outlineLevel="0" collapsed="false">
      <c r="A240" s="2"/>
      <c r="B240" s="4"/>
      <c r="C240" s="4"/>
      <c r="D240" s="5"/>
      <c r="E240" s="5"/>
      <c r="F240" s="4"/>
      <c r="G240" s="7" t="str">
        <f aca="false">IF(AND($D240="",$E240=""),"",$G$2+SUMIF($F$3:$F240,"Espèces",$D$3:$D240)-SUMIF($F$3:$F240,"Espèces",$E$3:$E240))</f>
        <v/>
      </c>
      <c r="H240" s="7" t="str">
        <f aca="false">IF(AND($D240="",$E240=""),"",$H$2+SUMIF($F$3:$F240,"Mobile Money",$D$3:$D240)-SUMIF($F$3:$F240,"Mobile Money",$E$3:$E240))</f>
        <v/>
      </c>
    </row>
    <row r="241" customFormat="false" ht="15" hidden="false" customHeight="false" outlineLevel="0" collapsed="false">
      <c r="A241" s="2"/>
      <c r="B241" s="4"/>
      <c r="C241" s="4"/>
      <c r="D241" s="5"/>
      <c r="E241" s="5"/>
      <c r="F241" s="4"/>
      <c r="G241" s="7" t="str">
        <f aca="false">IF(AND($D241="",$E241=""),"",$G$2+SUMIF($F$3:$F241,"Espèces",$D$3:$D241)-SUMIF($F$3:$F241,"Espèces",$E$3:$E241))</f>
        <v/>
      </c>
      <c r="H241" s="7" t="str">
        <f aca="false">IF(AND($D241="",$E241=""),"",$H$2+SUMIF($F$3:$F241,"Mobile Money",$D$3:$D241)-SUMIF($F$3:$F241,"Mobile Money",$E$3:$E241))</f>
        <v/>
      </c>
    </row>
    <row r="242" customFormat="false" ht="15" hidden="false" customHeight="false" outlineLevel="0" collapsed="false">
      <c r="A242" s="2"/>
      <c r="B242" s="4"/>
      <c r="C242" s="4"/>
      <c r="D242" s="5"/>
      <c r="E242" s="5"/>
      <c r="F242" s="4"/>
      <c r="G242" s="7" t="str">
        <f aca="false">IF(AND($D242="",$E242=""),"",$G$2+SUMIF($F$3:$F242,"Espèces",$D$3:$D242)-SUMIF($F$3:$F242,"Espèces",$E$3:$E242))</f>
        <v/>
      </c>
      <c r="H242" s="7" t="str">
        <f aca="false">IF(AND($D242="",$E242=""),"",$H$2+SUMIF($F$3:$F242,"Mobile Money",$D$3:$D242)-SUMIF($F$3:$F242,"Mobile Money",$E$3:$E242))</f>
        <v/>
      </c>
    </row>
    <row r="243" customFormat="false" ht="15" hidden="false" customHeight="false" outlineLevel="0" collapsed="false">
      <c r="A243" s="2"/>
      <c r="B243" s="4"/>
      <c r="C243" s="4"/>
      <c r="D243" s="5"/>
      <c r="E243" s="5"/>
      <c r="F243" s="4"/>
      <c r="G243" s="7" t="str">
        <f aca="false">IF(AND($D243="",$E243=""),"",$G$2+SUMIF($F$3:$F243,"Espèces",$D$3:$D243)-SUMIF($F$3:$F243,"Espèces",$E$3:$E243))</f>
        <v/>
      </c>
      <c r="H243" s="7" t="str">
        <f aca="false">IF(AND($D243="",$E243=""),"",$H$2+SUMIF($F$3:$F243,"Mobile Money",$D$3:$D243)-SUMIF($F$3:$F243,"Mobile Money",$E$3:$E243))</f>
        <v/>
      </c>
    </row>
    <row r="244" customFormat="false" ht="15" hidden="false" customHeight="false" outlineLevel="0" collapsed="false">
      <c r="A244" s="2"/>
      <c r="B244" s="4"/>
      <c r="C244" s="4"/>
      <c r="D244" s="5"/>
      <c r="E244" s="5"/>
      <c r="F244" s="4"/>
      <c r="G244" s="7" t="str">
        <f aca="false">IF(AND($D244="",$E244=""),"",$G$2+SUMIF($F$3:$F244,"Espèces",$D$3:$D244)-SUMIF($F$3:$F244,"Espèces",$E$3:$E244))</f>
        <v/>
      </c>
      <c r="H244" s="7" t="str">
        <f aca="false">IF(AND($D244="",$E244=""),"",$H$2+SUMIF($F$3:$F244,"Mobile Money",$D$3:$D244)-SUMIF($F$3:$F244,"Mobile Money",$E$3:$E244))</f>
        <v/>
      </c>
    </row>
    <row r="245" customFormat="false" ht="15" hidden="false" customHeight="false" outlineLevel="0" collapsed="false">
      <c r="A245" s="2"/>
      <c r="B245" s="4"/>
      <c r="C245" s="4"/>
      <c r="D245" s="5"/>
      <c r="E245" s="5"/>
      <c r="F245" s="4"/>
      <c r="G245" s="7" t="str">
        <f aca="false">IF(AND($D245="",$E245=""),"",$G$2+SUMIF($F$3:$F245,"Espèces",$D$3:$D245)-SUMIF($F$3:$F245,"Espèces",$E$3:$E245))</f>
        <v/>
      </c>
      <c r="H245" s="7" t="str">
        <f aca="false">IF(AND($D245="",$E245=""),"",$H$2+SUMIF($F$3:$F245,"Mobile Money",$D$3:$D245)-SUMIF($F$3:$F245,"Mobile Money",$E$3:$E245))</f>
        <v/>
      </c>
    </row>
    <row r="246" customFormat="false" ht="15" hidden="false" customHeight="false" outlineLevel="0" collapsed="false">
      <c r="A246" s="2"/>
      <c r="B246" s="4"/>
      <c r="C246" s="4"/>
      <c r="D246" s="5"/>
      <c r="E246" s="5"/>
      <c r="F246" s="4"/>
      <c r="G246" s="7" t="str">
        <f aca="false">IF(AND($D246="",$E246=""),"",$G$2+SUMIF($F$3:$F246,"Espèces",$D$3:$D246)-SUMIF($F$3:$F246,"Espèces",$E$3:$E246))</f>
        <v/>
      </c>
      <c r="H246" s="7" t="str">
        <f aca="false">IF(AND($D246="",$E246=""),"",$H$2+SUMIF($F$3:$F246,"Mobile Money",$D$3:$D246)-SUMIF($F$3:$F246,"Mobile Money",$E$3:$E246))</f>
        <v/>
      </c>
    </row>
    <row r="247" customFormat="false" ht="15" hidden="false" customHeight="false" outlineLevel="0" collapsed="false">
      <c r="A247" s="2"/>
      <c r="B247" s="4"/>
      <c r="C247" s="4"/>
      <c r="D247" s="5"/>
      <c r="E247" s="5"/>
      <c r="F247" s="4"/>
      <c r="G247" s="7" t="str">
        <f aca="false">IF(AND($D247="",$E247=""),"",$G$2+SUMIF($F$3:$F247,"Espèces",$D$3:$D247)-SUMIF($F$3:$F247,"Espèces",$E$3:$E247))</f>
        <v/>
      </c>
      <c r="H247" s="7" t="str">
        <f aca="false">IF(AND($D247="",$E247=""),"",$H$2+SUMIF($F$3:$F247,"Mobile Money",$D$3:$D247)-SUMIF($F$3:$F247,"Mobile Money",$E$3:$E247))</f>
        <v/>
      </c>
    </row>
    <row r="248" customFormat="false" ht="15" hidden="false" customHeight="false" outlineLevel="0" collapsed="false">
      <c r="A248" s="2"/>
      <c r="B248" s="4"/>
      <c r="C248" s="4"/>
      <c r="D248" s="5"/>
      <c r="E248" s="5"/>
      <c r="F248" s="4"/>
      <c r="G248" s="7" t="str">
        <f aca="false">IF(AND($D248="",$E248=""),"",$G$2+SUMIF($F$3:$F248,"Espèces",$D$3:$D248)-SUMIF($F$3:$F248,"Espèces",$E$3:$E248))</f>
        <v/>
      </c>
      <c r="H248" s="7" t="str">
        <f aca="false">IF(AND($D248="",$E248=""),"",$H$2+SUMIF($F$3:$F248,"Mobile Money",$D$3:$D248)-SUMIF($F$3:$F248,"Mobile Money",$E$3:$E248))</f>
        <v/>
      </c>
    </row>
    <row r="249" customFormat="false" ht="15" hidden="false" customHeight="false" outlineLevel="0" collapsed="false">
      <c r="A249" s="2"/>
      <c r="B249" s="4"/>
      <c r="C249" s="4"/>
      <c r="D249" s="5"/>
      <c r="E249" s="5"/>
      <c r="F249" s="4"/>
      <c r="G249" s="7" t="str">
        <f aca="false">IF(AND($D249="",$E249=""),"",$G$2+SUMIF($F$3:$F249,"Espèces",$D$3:$D249)-SUMIF($F$3:$F249,"Espèces",$E$3:$E249))</f>
        <v/>
      </c>
      <c r="H249" s="7" t="str">
        <f aca="false">IF(AND($D249="",$E249=""),"",$H$2+SUMIF($F$3:$F249,"Mobile Money",$D$3:$D249)-SUMIF($F$3:$F249,"Mobile Money",$E$3:$E249))</f>
        <v/>
      </c>
    </row>
    <row r="250" customFormat="false" ht="15" hidden="false" customHeight="false" outlineLevel="0" collapsed="false">
      <c r="A250" s="2"/>
      <c r="B250" s="4"/>
      <c r="C250" s="4"/>
      <c r="D250" s="5"/>
      <c r="E250" s="5"/>
      <c r="F250" s="4"/>
      <c r="G250" s="7" t="str">
        <f aca="false">IF(AND($D250="",$E250=""),"",$G$2+SUMIF($F$3:$F250,"Espèces",$D$3:$D250)-SUMIF($F$3:$F250,"Espèces",$E$3:$E250))</f>
        <v/>
      </c>
      <c r="H250" s="7" t="str">
        <f aca="false">IF(AND($D250="",$E250=""),"",$H$2+SUMIF($F$3:$F250,"Mobile Money",$D$3:$D250)-SUMIF($F$3:$F250,"Mobile Money",$E$3:$E250))</f>
        <v/>
      </c>
    </row>
    <row r="251" customFormat="false" ht="15" hidden="false" customHeight="false" outlineLevel="0" collapsed="false">
      <c r="A251" s="2"/>
      <c r="B251" s="4"/>
      <c r="C251" s="4"/>
      <c r="D251" s="5"/>
      <c r="E251" s="5"/>
      <c r="F251" s="4"/>
      <c r="G251" s="7" t="str">
        <f aca="false">IF(AND($D251="",$E251=""),"",$G$2+SUMIF($F$3:$F251,"Espèces",$D$3:$D251)-SUMIF($F$3:$F251,"Espèces",$E$3:$E251))</f>
        <v/>
      </c>
      <c r="H251" s="7" t="str">
        <f aca="false">IF(AND($D251="",$E251=""),"",$H$2+SUMIF($F$3:$F251,"Mobile Money",$D$3:$D251)-SUMIF($F$3:$F251,"Mobile Money",$E$3:$E251))</f>
        <v/>
      </c>
    </row>
    <row r="252" customFormat="false" ht="15" hidden="false" customHeight="false" outlineLevel="0" collapsed="false">
      <c r="A252" s="2"/>
      <c r="B252" s="4"/>
      <c r="C252" s="4"/>
      <c r="D252" s="5"/>
      <c r="E252" s="5"/>
      <c r="F252" s="4"/>
      <c r="G252" s="7" t="str">
        <f aca="false">IF(AND($D252="",$E252=""),"",$G$2+SUMIF($F$3:$F252,"Espèces",$D$3:$D252)-SUMIF($F$3:$F252,"Espèces",$E$3:$E252))</f>
        <v/>
      </c>
      <c r="H252" s="7" t="str">
        <f aca="false">IF(AND($D252="",$E252=""),"",$H$2+SUMIF($F$3:$F252,"Mobile Money",$D$3:$D252)-SUMIF($F$3:$F252,"Mobile Money",$E$3:$E252))</f>
        <v/>
      </c>
    </row>
    <row r="253" customFormat="false" ht="15" hidden="false" customHeight="false" outlineLevel="0" collapsed="false">
      <c r="A253" s="2"/>
      <c r="B253" s="4"/>
      <c r="C253" s="4"/>
      <c r="D253" s="5"/>
      <c r="E253" s="5"/>
      <c r="F253" s="4"/>
      <c r="G253" s="7" t="str">
        <f aca="false">IF(AND($D253="",$E253=""),"",$G$2+SUMIF($F$3:$F253,"Espèces",$D$3:$D253)-SUMIF($F$3:$F253,"Espèces",$E$3:$E253))</f>
        <v/>
      </c>
      <c r="H253" s="7" t="str">
        <f aca="false">IF(AND($D253="",$E253=""),"",$H$2+SUMIF($F$3:$F253,"Mobile Money",$D$3:$D253)-SUMIF($F$3:$F253,"Mobile Money",$E$3:$E253))</f>
        <v/>
      </c>
    </row>
    <row r="254" customFormat="false" ht="15" hidden="false" customHeight="false" outlineLevel="0" collapsed="false">
      <c r="A254" s="2"/>
      <c r="B254" s="4"/>
      <c r="C254" s="4"/>
      <c r="D254" s="5"/>
      <c r="E254" s="5"/>
      <c r="F254" s="4"/>
      <c r="G254" s="7" t="str">
        <f aca="false">IF(AND($D254="",$E254=""),"",$G$2+SUMIF($F$3:$F254,"Espèces",$D$3:$D254)-SUMIF($F$3:$F254,"Espèces",$E$3:$E254))</f>
        <v/>
      </c>
      <c r="H254" s="7" t="str">
        <f aca="false">IF(AND($D254="",$E254=""),"",$H$2+SUMIF($F$3:$F254,"Mobile Money",$D$3:$D254)-SUMIF($F$3:$F254,"Mobile Money",$E$3:$E254))</f>
        <v/>
      </c>
    </row>
    <row r="255" customFormat="false" ht="15" hidden="false" customHeight="false" outlineLevel="0" collapsed="false">
      <c r="A255" s="2"/>
      <c r="B255" s="4"/>
      <c r="C255" s="4"/>
      <c r="D255" s="5"/>
      <c r="E255" s="5"/>
      <c r="F255" s="4"/>
      <c r="G255" s="7" t="str">
        <f aca="false">IF(AND($D255="",$E255=""),"",$G$2+SUMIF($F$3:$F255,"Espèces",$D$3:$D255)-SUMIF($F$3:$F255,"Espèces",$E$3:$E255))</f>
        <v/>
      </c>
      <c r="H255" s="7" t="str">
        <f aca="false">IF(AND($D255="",$E255=""),"",$H$2+SUMIF($F$3:$F255,"Mobile Money",$D$3:$D255)-SUMIF($F$3:$F255,"Mobile Money",$E$3:$E255))</f>
        <v/>
      </c>
    </row>
    <row r="256" customFormat="false" ht="15" hidden="false" customHeight="false" outlineLevel="0" collapsed="false">
      <c r="A256" s="2"/>
      <c r="B256" s="4"/>
      <c r="C256" s="4"/>
      <c r="D256" s="5"/>
      <c r="E256" s="5"/>
      <c r="F256" s="4"/>
      <c r="G256" s="7" t="str">
        <f aca="false">IF(AND($D256="",$E256=""),"",$G$2+SUMIF($F$3:$F256,"Espèces",$D$3:$D256)-SUMIF($F$3:$F256,"Espèces",$E$3:$E256))</f>
        <v/>
      </c>
      <c r="H256" s="7" t="str">
        <f aca="false">IF(AND($D256="",$E256=""),"",$H$2+SUMIF($F$3:$F256,"Mobile Money",$D$3:$D256)-SUMIF($F$3:$F256,"Mobile Money",$E$3:$E256))</f>
        <v/>
      </c>
    </row>
    <row r="257" customFormat="false" ht="15" hidden="false" customHeight="false" outlineLevel="0" collapsed="false">
      <c r="A257" s="2"/>
      <c r="B257" s="4"/>
      <c r="C257" s="4"/>
      <c r="D257" s="5"/>
      <c r="E257" s="5"/>
      <c r="F257" s="4"/>
      <c r="G257" s="7" t="str">
        <f aca="false">IF(AND($D257="",$E257=""),"",$G$2+SUMIF($F$3:$F257,"Espèces",$D$3:$D257)-SUMIF($F$3:$F257,"Espèces",$E$3:$E257))</f>
        <v/>
      </c>
      <c r="H257" s="7" t="str">
        <f aca="false">IF(AND($D257="",$E257=""),"",$H$2+SUMIF($F$3:$F257,"Mobile Money",$D$3:$D257)-SUMIF($F$3:$F257,"Mobile Money",$E$3:$E257))</f>
        <v/>
      </c>
    </row>
    <row r="258" customFormat="false" ht="15" hidden="false" customHeight="false" outlineLevel="0" collapsed="false">
      <c r="A258" s="2"/>
      <c r="B258" s="4"/>
      <c r="C258" s="4"/>
      <c r="D258" s="5"/>
      <c r="E258" s="5"/>
      <c r="F258" s="4"/>
      <c r="G258" s="7" t="str">
        <f aca="false">IF(AND($D258="",$E258=""),"",$G$2+SUMIF($F$3:$F258,"Espèces",$D$3:$D258)-SUMIF($F$3:$F258,"Espèces",$E$3:$E258))</f>
        <v/>
      </c>
      <c r="H258" s="7" t="str">
        <f aca="false">IF(AND($D258="",$E258=""),"",$H$2+SUMIF($F$3:$F258,"Mobile Money",$D$3:$D258)-SUMIF($F$3:$F258,"Mobile Money",$E$3:$E258))</f>
        <v/>
      </c>
    </row>
    <row r="259" customFormat="false" ht="15" hidden="false" customHeight="false" outlineLevel="0" collapsed="false">
      <c r="A259" s="2"/>
      <c r="B259" s="4"/>
      <c r="C259" s="4"/>
      <c r="D259" s="5"/>
      <c r="E259" s="5"/>
      <c r="F259" s="4"/>
      <c r="G259" s="7" t="str">
        <f aca="false">IF(AND($D259="",$E259=""),"",$G$2+SUMIF($F$3:$F259,"Espèces",$D$3:$D259)-SUMIF($F$3:$F259,"Espèces",$E$3:$E259))</f>
        <v/>
      </c>
      <c r="H259" s="7" t="str">
        <f aca="false">IF(AND($D259="",$E259=""),"",$H$2+SUMIF($F$3:$F259,"Mobile Money",$D$3:$D259)-SUMIF($F$3:$F259,"Mobile Money",$E$3:$E259))</f>
        <v/>
      </c>
    </row>
    <row r="260" customFormat="false" ht="15" hidden="false" customHeight="false" outlineLevel="0" collapsed="false">
      <c r="A260" s="2"/>
      <c r="B260" s="4"/>
      <c r="C260" s="4"/>
      <c r="D260" s="5"/>
      <c r="E260" s="5"/>
      <c r="F260" s="4"/>
      <c r="G260" s="7" t="str">
        <f aca="false">IF(AND($D260="",$E260=""),"",$G$2+SUMIF($F$3:$F260,"Espèces",$D$3:$D260)-SUMIF($F$3:$F260,"Espèces",$E$3:$E260))</f>
        <v/>
      </c>
      <c r="H260" s="7" t="str">
        <f aca="false">IF(AND($D260="",$E260=""),"",$H$2+SUMIF($F$3:$F260,"Mobile Money",$D$3:$D260)-SUMIF($F$3:$F260,"Mobile Money",$E$3:$E260))</f>
        <v/>
      </c>
    </row>
    <row r="261" customFormat="false" ht="15" hidden="false" customHeight="false" outlineLevel="0" collapsed="false">
      <c r="A261" s="2"/>
      <c r="B261" s="4"/>
      <c r="C261" s="4"/>
      <c r="D261" s="5"/>
      <c r="E261" s="5"/>
      <c r="F261" s="4"/>
      <c r="G261" s="7" t="str">
        <f aca="false">IF(AND($D261="",$E261=""),"",$G$2+SUMIF($F$3:$F261,"Espèces",$D$3:$D261)-SUMIF($F$3:$F261,"Espèces",$E$3:$E261))</f>
        <v/>
      </c>
      <c r="H261" s="7" t="str">
        <f aca="false">IF(AND($D261="",$E261=""),"",$H$2+SUMIF($F$3:$F261,"Mobile Money",$D$3:$D261)-SUMIF($F$3:$F261,"Mobile Money",$E$3:$E261))</f>
        <v/>
      </c>
    </row>
    <row r="262" customFormat="false" ht="15" hidden="false" customHeight="false" outlineLevel="0" collapsed="false">
      <c r="A262" s="2"/>
      <c r="B262" s="4"/>
      <c r="C262" s="4"/>
      <c r="D262" s="5"/>
      <c r="E262" s="5"/>
      <c r="F262" s="4"/>
      <c r="G262" s="7" t="str">
        <f aca="false">IF(AND($D262="",$E262=""),"",$G$2+SUMIF($F$3:$F262,"Espèces",$D$3:$D262)-SUMIF($F$3:$F262,"Espèces",$E$3:$E262))</f>
        <v/>
      </c>
      <c r="H262" s="7" t="str">
        <f aca="false">IF(AND($D262="",$E262=""),"",$H$2+SUMIF($F$3:$F262,"Mobile Money",$D$3:$D262)-SUMIF($F$3:$F262,"Mobile Money",$E$3:$E262))</f>
        <v/>
      </c>
    </row>
    <row r="263" customFormat="false" ht="15" hidden="false" customHeight="false" outlineLevel="0" collapsed="false">
      <c r="A263" s="2"/>
      <c r="B263" s="4"/>
      <c r="C263" s="4"/>
      <c r="D263" s="5"/>
      <c r="E263" s="5"/>
      <c r="F263" s="4"/>
      <c r="G263" s="7" t="str">
        <f aca="false">IF(AND($D263="",$E263=""),"",$G$2+SUMIF($F$3:$F263,"Espèces",$D$3:$D263)-SUMIF($F$3:$F263,"Espèces",$E$3:$E263))</f>
        <v/>
      </c>
      <c r="H263" s="7" t="str">
        <f aca="false">IF(AND($D263="",$E263=""),"",$H$2+SUMIF($F$3:$F263,"Mobile Money",$D$3:$D263)-SUMIF($F$3:$F263,"Mobile Money",$E$3:$E263))</f>
        <v/>
      </c>
    </row>
    <row r="264" customFormat="false" ht="15" hidden="false" customHeight="false" outlineLevel="0" collapsed="false">
      <c r="A264" s="2"/>
      <c r="B264" s="4"/>
      <c r="C264" s="4"/>
      <c r="D264" s="5"/>
      <c r="E264" s="5"/>
      <c r="F264" s="4"/>
      <c r="G264" s="7" t="str">
        <f aca="false">IF(AND($D264="",$E264=""),"",$G$2+SUMIF($F$3:$F264,"Espèces",$D$3:$D264)-SUMIF($F$3:$F264,"Espèces",$E$3:$E264))</f>
        <v/>
      </c>
      <c r="H264" s="7" t="str">
        <f aca="false">IF(AND($D264="",$E264=""),"",$H$2+SUMIF($F$3:$F264,"Mobile Money",$D$3:$D264)-SUMIF($F$3:$F264,"Mobile Money",$E$3:$E264))</f>
        <v/>
      </c>
    </row>
    <row r="265" customFormat="false" ht="15" hidden="false" customHeight="false" outlineLevel="0" collapsed="false">
      <c r="A265" s="2"/>
      <c r="B265" s="4"/>
      <c r="C265" s="4"/>
      <c r="D265" s="5"/>
      <c r="E265" s="5"/>
      <c r="F265" s="4"/>
      <c r="G265" s="7" t="str">
        <f aca="false">IF(AND($D265="",$E265=""),"",$G$2+SUMIF($F$3:$F265,"Espèces",$D$3:$D265)-SUMIF($F$3:$F265,"Espèces",$E$3:$E265))</f>
        <v/>
      </c>
      <c r="H265" s="7" t="str">
        <f aca="false">IF(AND($D265="",$E265=""),"",$H$2+SUMIF($F$3:$F265,"Mobile Money",$D$3:$D265)-SUMIF($F$3:$F265,"Mobile Money",$E$3:$E265))</f>
        <v/>
      </c>
    </row>
    <row r="266" customFormat="false" ht="15" hidden="false" customHeight="false" outlineLevel="0" collapsed="false">
      <c r="A266" s="2"/>
      <c r="B266" s="4"/>
      <c r="C266" s="4"/>
      <c r="D266" s="5"/>
      <c r="E266" s="5"/>
      <c r="F266" s="4"/>
      <c r="G266" s="7" t="str">
        <f aca="false">IF(AND($D266="",$E266=""),"",$G$2+SUMIF($F$3:$F266,"Espèces",$D$3:$D266)-SUMIF($F$3:$F266,"Espèces",$E$3:$E266))</f>
        <v/>
      </c>
      <c r="H266" s="7" t="str">
        <f aca="false">IF(AND($D266="",$E266=""),"",$H$2+SUMIF($F$3:$F266,"Mobile Money",$D$3:$D266)-SUMIF($F$3:$F266,"Mobile Money",$E$3:$E266))</f>
        <v/>
      </c>
    </row>
    <row r="267" customFormat="false" ht="15" hidden="false" customHeight="false" outlineLevel="0" collapsed="false">
      <c r="A267" s="2"/>
      <c r="B267" s="4"/>
      <c r="C267" s="4"/>
      <c r="D267" s="5"/>
      <c r="E267" s="5"/>
      <c r="F267" s="4"/>
      <c r="G267" s="7" t="str">
        <f aca="false">IF(AND($D267="",$E267=""),"",$G$2+SUMIF($F$3:$F267,"Espèces",$D$3:$D267)-SUMIF($F$3:$F267,"Espèces",$E$3:$E267))</f>
        <v/>
      </c>
      <c r="H267" s="7" t="str">
        <f aca="false">IF(AND($D267="",$E267=""),"",$H$2+SUMIF($F$3:$F267,"Mobile Money",$D$3:$D267)-SUMIF($F$3:$F267,"Mobile Money",$E$3:$E267))</f>
        <v/>
      </c>
    </row>
    <row r="268" customFormat="false" ht="15" hidden="false" customHeight="false" outlineLevel="0" collapsed="false">
      <c r="A268" s="2"/>
      <c r="B268" s="4"/>
      <c r="C268" s="4"/>
      <c r="D268" s="5"/>
      <c r="E268" s="5"/>
      <c r="F268" s="4"/>
      <c r="G268" s="7" t="str">
        <f aca="false">IF(AND($D268="",$E268=""),"",$G$2+SUMIF($F$3:$F268,"Espèces",$D$3:$D268)-SUMIF($F$3:$F268,"Espèces",$E$3:$E268))</f>
        <v/>
      </c>
      <c r="H268" s="7" t="str">
        <f aca="false">IF(AND($D268="",$E268=""),"",$H$2+SUMIF($F$3:$F268,"Mobile Money",$D$3:$D268)-SUMIF($F$3:$F268,"Mobile Money",$E$3:$E268))</f>
        <v/>
      </c>
    </row>
    <row r="269" customFormat="false" ht="15" hidden="false" customHeight="false" outlineLevel="0" collapsed="false">
      <c r="A269" s="2"/>
      <c r="B269" s="4"/>
      <c r="C269" s="4"/>
      <c r="D269" s="5"/>
      <c r="E269" s="5"/>
      <c r="F269" s="4"/>
      <c r="G269" s="7" t="str">
        <f aca="false">IF(AND($D269="",$E269=""),"",$G$2+SUMIF($F$3:$F269,"Espèces",$D$3:$D269)-SUMIF($F$3:$F269,"Espèces",$E$3:$E269))</f>
        <v/>
      </c>
      <c r="H269" s="7" t="str">
        <f aca="false">IF(AND($D269="",$E269=""),"",$H$2+SUMIF($F$3:$F269,"Mobile Money",$D$3:$D269)-SUMIF($F$3:$F269,"Mobile Money",$E$3:$E269))</f>
        <v/>
      </c>
    </row>
    <row r="270" customFormat="false" ht="15" hidden="false" customHeight="false" outlineLevel="0" collapsed="false">
      <c r="A270" s="2"/>
      <c r="B270" s="4"/>
      <c r="C270" s="4"/>
      <c r="D270" s="5"/>
      <c r="E270" s="5"/>
      <c r="F270" s="4"/>
      <c r="G270" s="7" t="str">
        <f aca="false">IF(AND($D270="",$E270=""),"",$G$2+SUMIF($F$3:$F270,"Espèces",$D$3:$D270)-SUMIF($F$3:$F270,"Espèces",$E$3:$E270))</f>
        <v/>
      </c>
      <c r="H270" s="7" t="str">
        <f aca="false">IF(AND($D270="",$E270=""),"",$H$2+SUMIF($F$3:$F270,"Mobile Money",$D$3:$D270)-SUMIF($F$3:$F270,"Mobile Money",$E$3:$E270))</f>
        <v/>
      </c>
    </row>
    <row r="271" customFormat="false" ht="15" hidden="false" customHeight="false" outlineLevel="0" collapsed="false">
      <c r="A271" s="2"/>
      <c r="B271" s="4"/>
      <c r="C271" s="4"/>
      <c r="D271" s="5"/>
      <c r="E271" s="5"/>
      <c r="F271" s="4"/>
      <c r="G271" s="7" t="str">
        <f aca="false">IF(AND($D271="",$E271=""),"",$G$2+SUMIF($F$3:$F271,"Espèces",$D$3:$D271)-SUMIF($F$3:$F271,"Espèces",$E$3:$E271))</f>
        <v/>
      </c>
      <c r="H271" s="7" t="str">
        <f aca="false">IF(AND($D271="",$E271=""),"",$H$2+SUMIF($F$3:$F271,"Mobile Money",$D$3:$D271)-SUMIF($F$3:$F271,"Mobile Money",$E$3:$E271))</f>
        <v/>
      </c>
    </row>
    <row r="272" customFormat="false" ht="15" hidden="false" customHeight="false" outlineLevel="0" collapsed="false">
      <c r="A272" s="2"/>
      <c r="B272" s="4"/>
      <c r="C272" s="4"/>
      <c r="D272" s="5"/>
      <c r="E272" s="5"/>
      <c r="F272" s="4"/>
      <c r="G272" s="7" t="str">
        <f aca="false">IF(AND($D272="",$E272=""),"",$G$2+SUMIF($F$3:$F272,"Espèces",$D$3:$D272)-SUMIF($F$3:$F272,"Espèces",$E$3:$E272))</f>
        <v/>
      </c>
      <c r="H272" s="7" t="str">
        <f aca="false">IF(AND($D272="",$E272=""),"",$H$2+SUMIF($F$3:$F272,"Mobile Money",$D$3:$D272)-SUMIF($F$3:$F272,"Mobile Money",$E$3:$E272))</f>
        <v/>
      </c>
    </row>
    <row r="273" customFormat="false" ht="15" hidden="false" customHeight="false" outlineLevel="0" collapsed="false">
      <c r="A273" s="2"/>
      <c r="B273" s="4"/>
      <c r="C273" s="4"/>
      <c r="D273" s="5"/>
      <c r="E273" s="5"/>
      <c r="F273" s="4"/>
      <c r="G273" s="7" t="str">
        <f aca="false">IF(AND($D273="",$E273=""),"",$G$2+SUMIF($F$3:$F273,"Espèces",$D$3:$D273)-SUMIF($F$3:$F273,"Espèces",$E$3:$E273))</f>
        <v/>
      </c>
      <c r="H273" s="7" t="str">
        <f aca="false">IF(AND($D273="",$E273=""),"",$H$2+SUMIF($F$3:$F273,"Mobile Money",$D$3:$D273)-SUMIF($F$3:$F273,"Mobile Money",$E$3:$E273))</f>
        <v/>
      </c>
    </row>
    <row r="274" customFormat="false" ht="15" hidden="false" customHeight="false" outlineLevel="0" collapsed="false">
      <c r="A274" s="2"/>
      <c r="B274" s="4"/>
      <c r="C274" s="4"/>
      <c r="D274" s="5"/>
      <c r="E274" s="5"/>
      <c r="F274" s="4"/>
      <c r="G274" s="7" t="str">
        <f aca="false">IF(AND($D274="",$E274=""),"",$G$2+SUMIF($F$3:$F274,"Espèces",$D$3:$D274)-SUMIF($F$3:$F274,"Espèces",$E$3:$E274))</f>
        <v/>
      </c>
      <c r="H274" s="7" t="str">
        <f aca="false">IF(AND($D274="",$E274=""),"",$H$2+SUMIF($F$3:$F274,"Mobile Money",$D$3:$D274)-SUMIF($F$3:$F274,"Mobile Money",$E$3:$E274))</f>
        <v/>
      </c>
    </row>
    <row r="275" customFormat="false" ht="15" hidden="false" customHeight="false" outlineLevel="0" collapsed="false">
      <c r="A275" s="2"/>
      <c r="B275" s="4"/>
      <c r="C275" s="4"/>
      <c r="D275" s="5"/>
      <c r="E275" s="5"/>
      <c r="F275" s="4"/>
      <c r="G275" s="7" t="str">
        <f aca="false">IF(AND($D275="",$E275=""),"",$G$2+SUMIF($F$3:$F275,"Espèces",$D$3:$D275)-SUMIF($F$3:$F275,"Espèces",$E$3:$E275))</f>
        <v/>
      </c>
      <c r="H275" s="7" t="str">
        <f aca="false">IF(AND($D275="",$E275=""),"",$H$2+SUMIF($F$3:$F275,"Mobile Money",$D$3:$D275)-SUMIF($F$3:$F275,"Mobile Money",$E$3:$E275))</f>
        <v/>
      </c>
    </row>
    <row r="276" customFormat="false" ht="15" hidden="false" customHeight="false" outlineLevel="0" collapsed="false">
      <c r="A276" s="2"/>
      <c r="B276" s="4"/>
      <c r="C276" s="4"/>
      <c r="D276" s="5"/>
      <c r="E276" s="5"/>
      <c r="F276" s="4"/>
      <c r="G276" s="7" t="str">
        <f aca="false">IF(AND($D276="",$E276=""),"",$G$2+SUMIF($F$3:$F276,"Espèces",$D$3:$D276)-SUMIF($F$3:$F276,"Espèces",$E$3:$E276))</f>
        <v/>
      </c>
      <c r="H276" s="7" t="str">
        <f aca="false">IF(AND($D276="",$E276=""),"",$H$2+SUMIF($F$3:$F276,"Mobile Money",$D$3:$D276)-SUMIF($F$3:$F276,"Mobile Money",$E$3:$E276))</f>
        <v/>
      </c>
    </row>
    <row r="277" customFormat="false" ht="15" hidden="false" customHeight="false" outlineLevel="0" collapsed="false">
      <c r="A277" s="2"/>
      <c r="B277" s="4"/>
      <c r="C277" s="4"/>
      <c r="D277" s="5"/>
      <c r="E277" s="5"/>
      <c r="F277" s="4"/>
      <c r="G277" s="7" t="str">
        <f aca="false">IF(AND($D277="",$E277=""),"",$G$2+SUMIF($F$3:$F277,"Espèces",$D$3:$D277)-SUMIF($F$3:$F277,"Espèces",$E$3:$E277))</f>
        <v/>
      </c>
      <c r="H277" s="7" t="str">
        <f aca="false">IF(AND($D277="",$E277=""),"",$H$2+SUMIF($F$3:$F277,"Mobile Money",$D$3:$D277)-SUMIF($F$3:$F277,"Mobile Money",$E$3:$E277))</f>
        <v/>
      </c>
    </row>
    <row r="278" customFormat="false" ht="15" hidden="false" customHeight="false" outlineLevel="0" collapsed="false">
      <c r="A278" s="2"/>
      <c r="B278" s="4"/>
      <c r="C278" s="4"/>
      <c r="D278" s="5"/>
      <c r="E278" s="5"/>
      <c r="F278" s="4"/>
      <c r="G278" s="7" t="str">
        <f aca="false">IF(AND($D278="",$E278=""),"",$G$2+SUMIF($F$3:$F278,"Espèces",$D$3:$D278)-SUMIF($F$3:$F278,"Espèces",$E$3:$E278))</f>
        <v/>
      </c>
      <c r="H278" s="7" t="str">
        <f aca="false">IF(AND($D278="",$E278=""),"",$H$2+SUMIF($F$3:$F278,"Mobile Money",$D$3:$D278)-SUMIF($F$3:$F278,"Mobile Money",$E$3:$E278))</f>
        <v/>
      </c>
    </row>
    <row r="279" customFormat="false" ht="15" hidden="false" customHeight="false" outlineLevel="0" collapsed="false">
      <c r="A279" s="2"/>
      <c r="B279" s="4"/>
      <c r="C279" s="4"/>
      <c r="D279" s="5"/>
      <c r="E279" s="5"/>
      <c r="F279" s="4"/>
      <c r="G279" s="7" t="str">
        <f aca="false">IF(AND($D279="",$E279=""),"",$G$2+SUMIF($F$3:$F279,"Espèces",$D$3:$D279)-SUMIF($F$3:$F279,"Espèces",$E$3:$E279))</f>
        <v/>
      </c>
      <c r="H279" s="7" t="str">
        <f aca="false">IF(AND($D279="",$E279=""),"",$H$2+SUMIF($F$3:$F279,"Mobile Money",$D$3:$D279)-SUMIF($F$3:$F279,"Mobile Money",$E$3:$E279))</f>
        <v/>
      </c>
    </row>
    <row r="280" customFormat="false" ht="15" hidden="false" customHeight="false" outlineLevel="0" collapsed="false">
      <c r="A280" s="2"/>
      <c r="B280" s="4"/>
      <c r="C280" s="4"/>
      <c r="D280" s="5"/>
      <c r="E280" s="5"/>
      <c r="F280" s="4"/>
      <c r="G280" s="7" t="str">
        <f aca="false">IF(AND($D280="",$E280=""),"",$G$2+SUMIF($F$3:$F280,"Espèces",$D$3:$D280)-SUMIF($F$3:$F280,"Espèces",$E$3:$E280))</f>
        <v/>
      </c>
      <c r="H280" s="7" t="str">
        <f aca="false">IF(AND($D280="",$E280=""),"",$H$2+SUMIF($F$3:$F280,"Mobile Money",$D$3:$D280)-SUMIF($F$3:$F280,"Mobile Money",$E$3:$E280))</f>
        <v/>
      </c>
    </row>
    <row r="281" customFormat="false" ht="15" hidden="false" customHeight="false" outlineLevel="0" collapsed="false">
      <c r="A281" s="2"/>
      <c r="B281" s="4"/>
      <c r="C281" s="4"/>
      <c r="D281" s="5"/>
      <c r="E281" s="5"/>
      <c r="F281" s="4"/>
      <c r="G281" s="7" t="str">
        <f aca="false">IF(AND($D281="",$E281=""),"",$G$2+SUMIF($F$3:$F281,"Espèces",$D$3:$D281)-SUMIF($F$3:$F281,"Espèces",$E$3:$E281))</f>
        <v/>
      </c>
      <c r="H281" s="7" t="str">
        <f aca="false">IF(AND($D281="",$E281=""),"",$H$2+SUMIF($F$3:$F281,"Mobile Money",$D$3:$D281)-SUMIF($F$3:$F281,"Mobile Money",$E$3:$E281))</f>
        <v/>
      </c>
    </row>
    <row r="282" customFormat="false" ht="15" hidden="false" customHeight="false" outlineLevel="0" collapsed="false">
      <c r="A282" s="2"/>
      <c r="B282" s="4"/>
      <c r="C282" s="4"/>
      <c r="D282" s="5"/>
      <c r="E282" s="5"/>
      <c r="F282" s="4"/>
      <c r="G282" s="7" t="str">
        <f aca="false">IF(AND($D282="",$E282=""),"",$G$2+SUMIF($F$3:$F282,"Espèces",$D$3:$D282)-SUMIF($F$3:$F282,"Espèces",$E$3:$E282))</f>
        <v/>
      </c>
      <c r="H282" s="7" t="str">
        <f aca="false">IF(AND($D282="",$E282=""),"",$H$2+SUMIF($F$3:$F282,"Mobile Money",$D$3:$D282)-SUMIF($F$3:$F282,"Mobile Money",$E$3:$E282))</f>
        <v/>
      </c>
    </row>
    <row r="283" customFormat="false" ht="15" hidden="false" customHeight="false" outlineLevel="0" collapsed="false">
      <c r="A283" s="2"/>
      <c r="B283" s="4"/>
      <c r="C283" s="4"/>
      <c r="D283" s="5"/>
      <c r="E283" s="5"/>
      <c r="F283" s="4"/>
      <c r="G283" s="7" t="str">
        <f aca="false">IF(AND($D283="",$E283=""),"",$G$2+SUMIF($F$3:$F283,"Espèces",$D$3:$D283)-SUMIF($F$3:$F283,"Espèces",$E$3:$E283))</f>
        <v/>
      </c>
      <c r="H283" s="7" t="str">
        <f aca="false">IF(AND($D283="",$E283=""),"",$H$2+SUMIF($F$3:$F283,"Mobile Money",$D$3:$D283)-SUMIF($F$3:$F283,"Mobile Money",$E$3:$E283))</f>
        <v/>
      </c>
    </row>
    <row r="284" customFormat="false" ht="15" hidden="false" customHeight="false" outlineLevel="0" collapsed="false">
      <c r="A284" s="2"/>
      <c r="B284" s="4"/>
      <c r="C284" s="4"/>
      <c r="D284" s="5"/>
      <c r="E284" s="5"/>
      <c r="F284" s="4"/>
      <c r="G284" s="7" t="str">
        <f aca="false">IF(AND($D284="",$E284=""),"",$G$2+SUMIF($F$3:$F284,"Espèces",$D$3:$D284)-SUMIF($F$3:$F284,"Espèces",$E$3:$E284))</f>
        <v/>
      </c>
      <c r="H284" s="7" t="str">
        <f aca="false">IF(AND($D284="",$E284=""),"",$H$2+SUMIF($F$3:$F284,"Mobile Money",$D$3:$D284)-SUMIF($F$3:$F284,"Mobile Money",$E$3:$E284))</f>
        <v/>
      </c>
    </row>
    <row r="285" customFormat="false" ht="15" hidden="false" customHeight="false" outlineLevel="0" collapsed="false">
      <c r="A285" s="2"/>
      <c r="B285" s="4"/>
      <c r="C285" s="4"/>
      <c r="D285" s="5"/>
      <c r="E285" s="5"/>
      <c r="F285" s="4"/>
      <c r="G285" s="7" t="str">
        <f aca="false">IF(AND($D285="",$E285=""),"",$G$2+SUMIF($F$3:$F285,"Espèces",$D$3:$D285)-SUMIF($F$3:$F285,"Espèces",$E$3:$E285))</f>
        <v/>
      </c>
      <c r="H285" s="7" t="str">
        <f aca="false">IF(AND($D285="",$E285=""),"",$H$2+SUMIF($F$3:$F285,"Mobile Money",$D$3:$D285)-SUMIF($F$3:$F285,"Mobile Money",$E$3:$E285))</f>
        <v/>
      </c>
    </row>
    <row r="286" customFormat="false" ht="15" hidden="false" customHeight="false" outlineLevel="0" collapsed="false">
      <c r="A286" s="2"/>
      <c r="B286" s="4"/>
      <c r="C286" s="4"/>
      <c r="D286" s="5"/>
      <c r="E286" s="5"/>
      <c r="F286" s="4"/>
      <c r="G286" s="7" t="str">
        <f aca="false">IF(AND($D286="",$E286=""),"",$G$2+SUMIF($F$3:$F286,"Espèces",$D$3:$D286)-SUMIF($F$3:$F286,"Espèces",$E$3:$E286))</f>
        <v/>
      </c>
      <c r="H286" s="7" t="str">
        <f aca="false">IF(AND($D286="",$E286=""),"",$H$2+SUMIF($F$3:$F286,"Mobile Money",$D$3:$D286)-SUMIF($F$3:$F286,"Mobile Money",$E$3:$E286))</f>
        <v/>
      </c>
    </row>
    <row r="287" customFormat="false" ht="15" hidden="false" customHeight="false" outlineLevel="0" collapsed="false">
      <c r="A287" s="2"/>
      <c r="B287" s="4"/>
      <c r="C287" s="4"/>
      <c r="D287" s="5"/>
      <c r="E287" s="5"/>
      <c r="F287" s="4"/>
      <c r="G287" s="7" t="str">
        <f aca="false">IF(AND($D287="",$E287=""),"",$G$2+SUMIF($F$3:$F287,"Espèces",$D$3:$D287)-SUMIF($F$3:$F287,"Espèces",$E$3:$E287))</f>
        <v/>
      </c>
      <c r="H287" s="7" t="str">
        <f aca="false">IF(AND($D287="",$E287=""),"",$H$2+SUMIF($F$3:$F287,"Mobile Money",$D$3:$D287)-SUMIF($F$3:$F287,"Mobile Money",$E$3:$E287))</f>
        <v/>
      </c>
    </row>
    <row r="288" customFormat="false" ht="15" hidden="false" customHeight="false" outlineLevel="0" collapsed="false">
      <c r="A288" s="2"/>
      <c r="B288" s="4"/>
      <c r="C288" s="4"/>
      <c r="D288" s="5"/>
      <c r="E288" s="5"/>
      <c r="F288" s="4"/>
      <c r="G288" s="7" t="str">
        <f aca="false">IF(AND($D288="",$E288=""),"",$G$2+SUMIF($F$3:$F288,"Espèces",$D$3:$D288)-SUMIF($F$3:$F288,"Espèces",$E$3:$E288))</f>
        <v/>
      </c>
      <c r="H288" s="7" t="str">
        <f aca="false">IF(AND($D288="",$E288=""),"",$H$2+SUMIF($F$3:$F288,"Mobile Money",$D$3:$D288)-SUMIF($F$3:$F288,"Mobile Money",$E$3:$E288))</f>
        <v/>
      </c>
    </row>
    <row r="289" customFormat="false" ht="15" hidden="false" customHeight="false" outlineLevel="0" collapsed="false">
      <c r="A289" s="2"/>
      <c r="B289" s="4"/>
      <c r="C289" s="4"/>
      <c r="D289" s="5"/>
      <c r="E289" s="5"/>
      <c r="F289" s="4"/>
      <c r="G289" s="7" t="str">
        <f aca="false">IF(AND($D289="",$E289=""),"",$G$2+SUMIF($F$3:$F289,"Espèces",$D$3:$D289)-SUMIF($F$3:$F289,"Espèces",$E$3:$E289))</f>
        <v/>
      </c>
      <c r="H289" s="7" t="str">
        <f aca="false">IF(AND($D289="",$E289=""),"",$H$2+SUMIF($F$3:$F289,"Mobile Money",$D$3:$D289)-SUMIF($F$3:$F289,"Mobile Money",$E$3:$E289))</f>
        <v/>
      </c>
    </row>
    <row r="290" customFormat="false" ht="15" hidden="false" customHeight="false" outlineLevel="0" collapsed="false">
      <c r="A290" s="2"/>
      <c r="B290" s="4"/>
      <c r="C290" s="4"/>
      <c r="D290" s="5"/>
      <c r="E290" s="5"/>
      <c r="F290" s="4"/>
      <c r="G290" s="7" t="str">
        <f aca="false">IF(AND($D290="",$E290=""),"",$G$2+SUMIF($F$3:$F290,"Espèces",$D$3:$D290)-SUMIF($F$3:$F290,"Espèces",$E$3:$E290))</f>
        <v/>
      </c>
      <c r="H290" s="7" t="str">
        <f aca="false">IF(AND($D290="",$E290=""),"",$H$2+SUMIF($F$3:$F290,"Mobile Money",$D$3:$D290)-SUMIF($F$3:$F290,"Mobile Money",$E$3:$E290))</f>
        <v/>
      </c>
    </row>
    <row r="291" customFormat="false" ht="15" hidden="false" customHeight="false" outlineLevel="0" collapsed="false">
      <c r="A291" s="2"/>
      <c r="B291" s="4"/>
      <c r="C291" s="4"/>
      <c r="D291" s="5"/>
      <c r="E291" s="5"/>
      <c r="F291" s="4"/>
      <c r="G291" s="7" t="str">
        <f aca="false">IF(AND($D291="",$E291=""),"",$G$2+SUMIF($F$3:$F291,"Espèces",$D$3:$D291)-SUMIF($F$3:$F291,"Espèces",$E$3:$E291))</f>
        <v/>
      </c>
      <c r="H291" s="7" t="str">
        <f aca="false">IF(AND($D291="",$E291=""),"",$H$2+SUMIF($F$3:$F291,"Mobile Money",$D$3:$D291)-SUMIF($F$3:$F291,"Mobile Money",$E$3:$E291))</f>
        <v/>
      </c>
    </row>
    <row r="292" customFormat="false" ht="15" hidden="false" customHeight="false" outlineLevel="0" collapsed="false">
      <c r="A292" s="2"/>
      <c r="B292" s="4"/>
      <c r="C292" s="4"/>
      <c r="D292" s="5"/>
      <c r="E292" s="5"/>
      <c r="F292" s="4"/>
      <c r="G292" s="7" t="str">
        <f aca="false">IF(AND($D292="",$E292=""),"",$G$2+SUMIF($F$3:$F292,"Espèces",$D$3:$D292)-SUMIF($F$3:$F292,"Espèces",$E$3:$E292))</f>
        <v/>
      </c>
      <c r="H292" s="7" t="str">
        <f aca="false">IF(AND($D292="",$E292=""),"",$H$2+SUMIF($F$3:$F292,"Mobile Money",$D$3:$D292)-SUMIF($F$3:$F292,"Mobile Money",$E$3:$E292))</f>
        <v/>
      </c>
    </row>
    <row r="293" customFormat="false" ht="15" hidden="false" customHeight="false" outlineLevel="0" collapsed="false">
      <c r="A293" s="2"/>
      <c r="B293" s="4"/>
      <c r="C293" s="4"/>
      <c r="D293" s="5"/>
      <c r="E293" s="5"/>
      <c r="F293" s="4"/>
      <c r="G293" s="7" t="str">
        <f aca="false">IF(AND($D293="",$E293=""),"",$G$2+SUMIF($F$3:$F293,"Espèces",$D$3:$D293)-SUMIF($F$3:$F293,"Espèces",$E$3:$E293))</f>
        <v/>
      </c>
      <c r="H293" s="7" t="str">
        <f aca="false">IF(AND($D293="",$E293=""),"",$H$2+SUMIF($F$3:$F293,"Mobile Money",$D$3:$D293)-SUMIF($F$3:$F293,"Mobile Money",$E$3:$E293))</f>
        <v/>
      </c>
    </row>
    <row r="294" customFormat="false" ht="15" hidden="false" customHeight="false" outlineLevel="0" collapsed="false">
      <c r="A294" s="2"/>
      <c r="B294" s="4"/>
      <c r="C294" s="4"/>
      <c r="D294" s="5"/>
      <c r="E294" s="5"/>
      <c r="F294" s="4"/>
      <c r="G294" s="7" t="str">
        <f aca="false">IF(AND($D294="",$E294=""),"",$G$2+SUMIF($F$3:$F294,"Espèces",$D$3:$D294)-SUMIF($F$3:$F294,"Espèces",$E$3:$E294))</f>
        <v/>
      </c>
      <c r="H294" s="7" t="str">
        <f aca="false">IF(AND($D294="",$E294=""),"",$H$2+SUMIF($F$3:$F294,"Mobile Money",$D$3:$D294)-SUMIF($F$3:$F294,"Mobile Money",$E$3:$E294))</f>
        <v/>
      </c>
    </row>
    <row r="295" customFormat="false" ht="15" hidden="false" customHeight="false" outlineLevel="0" collapsed="false">
      <c r="A295" s="2"/>
      <c r="B295" s="4"/>
      <c r="C295" s="4"/>
      <c r="D295" s="5"/>
      <c r="E295" s="5"/>
      <c r="F295" s="4"/>
      <c r="G295" s="7" t="str">
        <f aca="false">IF(AND($D295="",$E295=""),"",$G$2+SUMIF($F$3:$F295,"Espèces",$D$3:$D295)-SUMIF($F$3:$F295,"Espèces",$E$3:$E295))</f>
        <v/>
      </c>
      <c r="H295" s="7" t="str">
        <f aca="false">IF(AND($D295="",$E295=""),"",$H$2+SUMIF($F$3:$F295,"Mobile Money",$D$3:$D295)-SUMIF($F$3:$F295,"Mobile Money",$E$3:$E295))</f>
        <v/>
      </c>
    </row>
    <row r="296" customFormat="false" ht="15" hidden="false" customHeight="false" outlineLevel="0" collapsed="false">
      <c r="A296" s="2"/>
      <c r="B296" s="4"/>
      <c r="C296" s="4"/>
      <c r="D296" s="5"/>
      <c r="E296" s="5"/>
      <c r="F296" s="4"/>
      <c r="G296" s="7" t="str">
        <f aca="false">IF(AND($D296="",$E296=""),"",$G$2+SUMIF($F$3:$F296,"Espèces",$D$3:$D296)-SUMIF($F$3:$F296,"Espèces",$E$3:$E296))</f>
        <v/>
      </c>
      <c r="H296" s="7" t="str">
        <f aca="false">IF(AND($D296="",$E296=""),"",$H$2+SUMIF($F$3:$F296,"Mobile Money",$D$3:$D296)-SUMIF($F$3:$F296,"Mobile Money",$E$3:$E296))</f>
        <v/>
      </c>
    </row>
    <row r="297" customFormat="false" ht="15" hidden="false" customHeight="false" outlineLevel="0" collapsed="false">
      <c r="A297" s="2"/>
      <c r="B297" s="4"/>
      <c r="C297" s="4"/>
      <c r="D297" s="5"/>
      <c r="E297" s="5"/>
      <c r="F297" s="4"/>
      <c r="G297" s="7" t="str">
        <f aca="false">IF(AND($D297="",$E297=""),"",$G$2+SUMIF($F$3:$F297,"Espèces",$D$3:$D297)-SUMIF($F$3:$F297,"Espèces",$E$3:$E297))</f>
        <v/>
      </c>
      <c r="H297" s="7" t="str">
        <f aca="false">IF(AND($D297="",$E297=""),"",$H$2+SUMIF($F$3:$F297,"Mobile Money",$D$3:$D297)-SUMIF($F$3:$F297,"Mobile Money",$E$3:$E297))</f>
        <v/>
      </c>
    </row>
    <row r="298" customFormat="false" ht="15" hidden="false" customHeight="false" outlineLevel="0" collapsed="false">
      <c r="A298" s="2"/>
      <c r="B298" s="4"/>
      <c r="C298" s="4"/>
      <c r="D298" s="5"/>
      <c r="E298" s="5"/>
      <c r="F298" s="4"/>
      <c r="G298" s="7" t="str">
        <f aca="false">IF(AND($D298="",$E298=""),"",$G$2+SUMIF($F$3:$F298,"Espèces",$D$3:$D298)-SUMIF($F$3:$F298,"Espèces",$E$3:$E298))</f>
        <v/>
      </c>
      <c r="H298" s="7" t="str">
        <f aca="false">IF(AND($D298="",$E298=""),"",$H$2+SUMIF($F$3:$F298,"Mobile Money",$D$3:$D298)-SUMIF($F$3:$F298,"Mobile Money",$E$3:$E298))</f>
        <v/>
      </c>
    </row>
    <row r="299" customFormat="false" ht="15" hidden="false" customHeight="false" outlineLevel="0" collapsed="false">
      <c r="A299" s="2"/>
      <c r="B299" s="4"/>
      <c r="C299" s="4"/>
      <c r="D299" s="5"/>
      <c r="E299" s="5"/>
      <c r="F299" s="4"/>
      <c r="G299" s="7" t="str">
        <f aca="false">IF(AND($D299="",$E299=""),"",$G$2+SUMIF($F$3:$F299,"Espèces",$D$3:$D299)-SUMIF($F$3:$F299,"Espèces",$E$3:$E299))</f>
        <v/>
      </c>
      <c r="H299" s="7" t="str">
        <f aca="false">IF(AND($D299="",$E299=""),"",$H$2+SUMIF($F$3:$F299,"Mobile Money",$D$3:$D299)-SUMIF($F$3:$F299,"Mobile Money",$E$3:$E299))</f>
        <v/>
      </c>
    </row>
    <row r="300" customFormat="false" ht="15" hidden="false" customHeight="false" outlineLevel="0" collapsed="false">
      <c r="A300" s="2"/>
      <c r="B300" s="4"/>
      <c r="C300" s="4"/>
      <c r="D300" s="5"/>
      <c r="E300" s="5"/>
      <c r="F300" s="4"/>
      <c r="G300" s="7" t="str">
        <f aca="false">IF(AND($D300="",$E300=""),"",$G$2+SUMIF($F$3:$F300,"Espèces",$D$3:$D300)-SUMIF($F$3:$F300,"Espèces",$E$3:$E300))</f>
        <v/>
      </c>
      <c r="H300" s="7" t="str">
        <f aca="false">IF(AND($D300="",$E300=""),"",$H$2+SUMIF($F$3:$F300,"Mobile Money",$D$3:$D300)-SUMIF($F$3:$F300,"Mobile Money",$E$3:$E300))</f>
        <v/>
      </c>
    </row>
    <row r="301" customFormat="false" ht="15" hidden="false" customHeight="false" outlineLevel="0" collapsed="false">
      <c r="A301" s="2"/>
      <c r="B301" s="4"/>
      <c r="C301" s="4"/>
      <c r="D301" s="5"/>
      <c r="E301" s="5"/>
      <c r="F301" s="4"/>
      <c r="G301" s="7" t="str">
        <f aca="false">IF(AND($D301="",$E301=""),"",$G$2+SUMIF($F$3:$F301,"Espèces",$D$3:$D301)-SUMIF($F$3:$F301,"Espèces",$E$3:$E301))</f>
        <v/>
      </c>
      <c r="H301" s="7" t="str">
        <f aca="false">IF(AND($D301="",$E301=""),"",$H$2+SUMIF($F$3:$F301,"Mobile Money",$D$3:$D301)-SUMIF($F$3:$F301,"Mobile Money",$E$3:$E301))</f>
        <v/>
      </c>
    </row>
    <row r="302" customFormat="false" ht="15" hidden="false" customHeight="false" outlineLevel="0" collapsed="false">
      <c r="A302" s="2"/>
      <c r="B302" s="4"/>
      <c r="C302" s="4"/>
      <c r="D302" s="5"/>
      <c r="E302" s="5"/>
      <c r="F302" s="4"/>
      <c r="G302" s="7" t="str">
        <f aca="false">IF(AND($D302="",$E302=""),"",$G$2+SUMIF($F$3:$F302,"Espèces",$D$3:$D302)-SUMIF($F$3:$F302,"Espèces",$E$3:$E302))</f>
        <v/>
      </c>
      <c r="H302" s="7" t="str">
        <f aca="false">IF(AND($D302="",$E302=""),"",$H$2+SUMIF($F$3:$F302,"Mobile Money",$D$3:$D302)-SUMIF($F$3:$F302,"Mobile Money",$E$3:$E302))</f>
        <v/>
      </c>
    </row>
    <row r="303" customFormat="false" ht="15" hidden="false" customHeight="false" outlineLevel="0" collapsed="false">
      <c r="A303" s="2"/>
      <c r="B303" s="4"/>
      <c r="C303" s="4"/>
      <c r="D303" s="5"/>
      <c r="E303" s="5"/>
      <c r="F303" s="4"/>
      <c r="G303" s="7" t="str">
        <f aca="false">IF(AND($D303="",$E303=""),"",$G$2+SUMIF($F$3:$F303,"Espèces",$D$3:$D303)-SUMIF($F$3:$F303,"Espèces",$E$3:$E303))</f>
        <v/>
      </c>
      <c r="H303" s="7" t="str">
        <f aca="false">IF(AND($D303="",$E303=""),"",$H$2+SUMIF($F$3:$F303,"Mobile Money",$D$3:$D303)-SUMIF($F$3:$F303,"Mobile Money",$E$3:$E303))</f>
        <v/>
      </c>
    </row>
    <row r="304" customFormat="false" ht="15" hidden="false" customHeight="false" outlineLevel="0" collapsed="false">
      <c r="A304" s="2"/>
      <c r="B304" s="4"/>
      <c r="C304" s="4"/>
      <c r="D304" s="5"/>
      <c r="E304" s="5"/>
      <c r="F304" s="4"/>
      <c r="G304" s="7" t="str">
        <f aca="false">IF(AND($D304="",$E304=""),"",$G$2+SUMIF($F$3:$F304,"Espèces",$D$3:$D304)-SUMIF($F$3:$F304,"Espèces",$E$3:$E304))</f>
        <v/>
      </c>
      <c r="H304" s="7" t="str">
        <f aca="false">IF(AND($D304="",$E304=""),"",$H$2+SUMIF($F$3:$F304,"Mobile Money",$D$3:$D304)-SUMIF($F$3:$F304,"Mobile Money",$E$3:$E304))</f>
        <v/>
      </c>
    </row>
    <row r="305" customFormat="false" ht="15" hidden="false" customHeight="false" outlineLevel="0" collapsed="false">
      <c r="A305" s="2"/>
      <c r="B305" s="4"/>
      <c r="C305" s="4"/>
      <c r="D305" s="5"/>
      <c r="E305" s="5"/>
      <c r="F305" s="4"/>
      <c r="G305" s="7" t="str">
        <f aca="false">IF(AND($D305="",$E305=""),"",$G$2+SUMIF($F$3:$F305,"Espèces",$D$3:$D305)-SUMIF($F$3:$F305,"Espèces",$E$3:$E305))</f>
        <v/>
      </c>
      <c r="H305" s="7" t="str">
        <f aca="false">IF(AND($D305="",$E305=""),"",$H$2+SUMIF($F$3:$F305,"Mobile Money",$D$3:$D305)-SUMIF($F$3:$F305,"Mobile Money",$E$3:$E305))</f>
        <v/>
      </c>
    </row>
    <row r="306" customFormat="false" ht="15" hidden="false" customHeight="false" outlineLevel="0" collapsed="false">
      <c r="A306" s="2"/>
      <c r="B306" s="4"/>
      <c r="C306" s="4"/>
      <c r="D306" s="5"/>
      <c r="E306" s="5"/>
      <c r="F306" s="4"/>
      <c r="G306" s="7" t="str">
        <f aca="false">IF(AND($D306="",$E306=""),"",$G$2+SUMIF($F$3:$F306,"Espèces",$D$3:$D306)-SUMIF($F$3:$F306,"Espèces",$E$3:$E306))</f>
        <v/>
      </c>
      <c r="H306" s="7" t="str">
        <f aca="false">IF(AND($D306="",$E306=""),"",$H$2+SUMIF($F$3:$F306,"Mobile Money",$D$3:$D306)-SUMIF($F$3:$F306,"Mobile Money",$E$3:$E306))</f>
        <v/>
      </c>
    </row>
    <row r="307" customFormat="false" ht="15" hidden="false" customHeight="false" outlineLevel="0" collapsed="false">
      <c r="A307" s="2"/>
      <c r="B307" s="4"/>
      <c r="C307" s="4"/>
      <c r="D307" s="5"/>
      <c r="E307" s="5"/>
      <c r="F307" s="4"/>
      <c r="G307" s="7" t="str">
        <f aca="false">IF(AND($D307="",$E307=""),"",$G$2+SUMIF($F$3:$F307,"Espèces",$D$3:$D307)-SUMIF($F$3:$F307,"Espèces",$E$3:$E307))</f>
        <v/>
      </c>
      <c r="H307" s="7" t="str">
        <f aca="false">IF(AND($D307="",$E307=""),"",$H$2+SUMIF($F$3:$F307,"Mobile Money",$D$3:$D307)-SUMIF($F$3:$F307,"Mobile Money",$E$3:$E307))</f>
        <v/>
      </c>
    </row>
    <row r="308" customFormat="false" ht="15" hidden="false" customHeight="false" outlineLevel="0" collapsed="false">
      <c r="A308" s="2"/>
      <c r="B308" s="4"/>
      <c r="C308" s="4"/>
      <c r="D308" s="5"/>
      <c r="E308" s="5"/>
      <c r="F308" s="4"/>
      <c r="G308" s="7" t="str">
        <f aca="false">IF(AND($D308="",$E308=""),"",$G$2+SUMIF($F$3:$F308,"Espèces",$D$3:$D308)-SUMIF($F$3:$F308,"Espèces",$E$3:$E308))</f>
        <v/>
      </c>
      <c r="H308" s="7" t="str">
        <f aca="false">IF(AND($D308="",$E308=""),"",$H$2+SUMIF($F$3:$F308,"Mobile Money",$D$3:$D308)-SUMIF($F$3:$F308,"Mobile Money",$E$3:$E308))</f>
        <v/>
      </c>
    </row>
    <row r="309" customFormat="false" ht="15" hidden="false" customHeight="false" outlineLevel="0" collapsed="false">
      <c r="A309" s="2"/>
      <c r="B309" s="4"/>
      <c r="C309" s="4"/>
      <c r="D309" s="5"/>
      <c r="E309" s="5"/>
      <c r="F309" s="4"/>
      <c r="G309" s="7" t="str">
        <f aca="false">IF(AND($D309="",$E309=""),"",$G$2+SUMIF($F$3:$F309,"Espèces",$D$3:$D309)-SUMIF($F$3:$F309,"Espèces",$E$3:$E309))</f>
        <v/>
      </c>
      <c r="H309" s="7" t="str">
        <f aca="false">IF(AND($D309="",$E309=""),"",$H$2+SUMIF($F$3:$F309,"Mobile Money",$D$3:$D309)-SUMIF($F$3:$F309,"Mobile Money",$E$3:$E309))</f>
        <v/>
      </c>
    </row>
    <row r="310" customFormat="false" ht="15" hidden="false" customHeight="false" outlineLevel="0" collapsed="false">
      <c r="A310" s="2"/>
      <c r="B310" s="4"/>
      <c r="C310" s="4"/>
      <c r="D310" s="5"/>
      <c r="E310" s="5"/>
      <c r="F310" s="4"/>
      <c r="G310" s="7" t="str">
        <f aca="false">IF(AND($D310="",$E310=""),"",$G$2+SUMIF($F$3:$F310,"Espèces",$D$3:$D310)-SUMIF($F$3:$F310,"Espèces",$E$3:$E310))</f>
        <v/>
      </c>
      <c r="H310" s="7" t="str">
        <f aca="false">IF(AND($D310="",$E310=""),"",$H$2+SUMIF($F$3:$F310,"Mobile Money",$D$3:$D310)-SUMIF($F$3:$F310,"Mobile Money",$E$3:$E310))</f>
        <v/>
      </c>
    </row>
    <row r="311" customFormat="false" ht="15" hidden="false" customHeight="false" outlineLevel="0" collapsed="false">
      <c r="A311" s="2"/>
      <c r="B311" s="4"/>
      <c r="C311" s="4"/>
      <c r="D311" s="5"/>
      <c r="E311" s="5"/>
      <c r="F311" s="4"/>
      <c r="G311" s="7" t="str">
        <f aca="false">IF(AND($D311="",$E311=""),"",$G$2+SUMIF($F$3:$F311,"Espèces",$D$3:$D311)-SUMIF($F$3:$F311,"Espèces",$E$3:$E311))</f>
        <v/>
      </c>
      <c r="H311" s="7" t="str">
        <f aca="false">IF(AND($D311="",$E311=""),"",$H$2+SUMIF($F$3:$F311,"Mobile Money",$D$3:$D311)-SUMIF($F$3:$F311,"Mobile Money",$E$3:$E311))</f>
        <v/>
      </c>
    </row>
    <row r="312" customFormat="false" ht="15" hidden="false" customHeight="false" outlineLevel="0" collapsed="false">
      <c r="A312" s="2"/>
      <c r="B312" s="4"/>
      <c r="C312" s="4"/>
      <c r="D312" s="5"/>
      <c r="E312" s="5"/>
      <c r="F312" s="4"/>
      <c r="G312" s="7" t="str">
        <f aca="false">IF(AND($D312="",$E312=""),"",$G$2+SUMIF($F$3:$F312,"Espèces",$D$3:$D312)-SUMIF($F$3:$F312,"Espèces",$E$3:$E312))</f>
        <v/>
      </c>
      <c r="H312" s="7" t="str">
        <f aca="false">IF(AND($D312="",$E312=""),"",$H$2+SUMIF($F$3:$F312,"Mobile Money",$D$3:$D312)-SUMIF($F$3:$F312,"Mobile Money",$E$3:$E312))</f>
        <v/>
      </c>
    </row>
    <row r="313" customFormat="false" ht="15" hidden="false" customHeight="false" outlineLevel="0" collapsed="false">
      <c r="A313" s="2"/>
      <c r="B313" s="4"/>
      <c r="C313" s="4"/>
      <c r="D313" s="5"/>
      <c r="E313" s="5"/>
      <c r="F313" s="4"/>
      <c r="G313" s="7" t="str">
        <f aca="false">IF(AND($D313="",$E313=""),"",$G$2+SUMIF($F$3:$F313,"Espèces",$D$3:$D313)-SUMIF($F$3:$F313,"Espèces",$E$3:$E313))</f>
        <v/>
      </c>
      <c r="H313" s="7" t="str">
        <f aca="false">IF(AND($D313="",$E313=""),"",$H$2+SUMIF($F$3:$F313,"Mobile Money",$D$3:$D313)-SUMIF($F$3:$F313,"Mobile Money",$E$3:$E313))</f>
        <v/>
      </c>
    </row>
    <row r="314" customFormat="false" ht="15" hidden="false" customHeight="false" outlineLevel="0" collapsed="false">
      <c r="A314" s="2"/>
      <c r="B314" s="4"/>
      <c r="C314" s="4"/>
      <c r="D314" s="5"/>
      <c r="E314" s="5"/>
      <c r="F314" s="4"/>
      <c r="G314" s="7" t="str">
        <f aca="false">IF(AND($D314="",$E314=""),"",$G$2+SUMIF($F$3:$F314,"Espèces",$D$3:$D314)-SUMIF($F$3:$F314,"Espèces",$E$3:$E314))</f>
        <v/>
      </c>
      <c r="H314" s="7" t="str">
        <f aca="false">IF(AND($D314="",$E314=""),"",$H$2+SUMIF($F$3:$F314,"Mobile Money",$D$3:$D314)-SUMIF($F$3:$F314,"Mobile Money",$E$3:$E314))</f>
        <v/>
      </c>
    </row>
    <row r="315" customFormat="false" ht="15" hidden="false" customHeight="false" outlineLevel="0" collapsed="false">
      <c r="A315" s="2"/>
      <c r="B315" s="4"/>
      <c r="C315" s="4"/>
      <c r="D315" s="5"/>
      <c r="E315" s="5"/>
      <c r="F315" s="4"/>
      <c r="G315" s="7" t="str">
        <f aca="false">IF(AND($D315="",$E315=""),"",$G$2+SUMIF($F$3:$F315,"Espèces",$D$3:$D315)-SUMIF($F$3:$F315,"Espèces",$E$3:$E315))</f>
        <v/>
      </c>
      <c r="H315" s="7" t="str">
        <f aca="false">IF(AND($D315="",$E315=""),"",$H$2+SUMIF($F$3:$F315,"Mobile Money",$D$3:$D315)-SUMIF($F$3:$F315,"Mobile Money",$E$3:$E315))</f>
        <v/>
      </c>
    </row>
    <row r="316" customFormat="false" ht="15" hidden="false" customHeight="false" outlineLevel="0" collapsed="false">
      <c r="A316" s="2"/>
      <c r="B316" s="4"/>
      <c r="C316" s="4"/>
      <c r="D316" s="5"/>
      <c r="E316" s="5"/>
      <c r="F316" s="4"/>
      <c r="G316" s="7" t="str">
        <f aca="false">IF(AND($D316="",$E316=""),"",$G$2+SUMIF($F$3:$F316,"Espèces",$D$3:$D316)-SUMIF($F$3:$F316,"Espèces",$E$3:$E316))</f>
        <v/>
      </c>
      <c r="H316" s="7" t="str">
        <f aca="false">IF(AND($D316="",$E316=""),"",$H$2+SUMIF($F$3:$F316,"Mobile Money",$D$3:$D316)-SUMIF($F$3:$F316,"Mobile Money",$E$3:$E316))</f>
        <v/>
      </c>
    </row>
    <row r="317" customFormat="false" ht="15" hidden="false" customHeight="false" outlineLevel="0" collapsed="false">
      <c r="A317" s="2"/>
      <c r="B317" s="4"/>
      <c r="C317" s="4"/>
      <c r="D317" s="5"/>
      <c r="E317" s="5"/>
      <c r="F317" s="4"/>
      <c r="G317" s="7" t="str">
        <f aca="false">IF(AND($D317="",$E317=""),"",$G$2+SUMIF($F$3:$F317,"Espèces",$D$3:$D317)-SUMIF($F$3:$F317,"Espèces",$E$3:$E317))</f>
        <v/>
      </c>
      <c r="H317" s="7" t="str">
        <f aca="false">IF(AND($D317="",$E317=""),"",$H$2+SUMIF($F$3:$F317,"Mobile Money",$D$3:$D317)-SUMIF($F$3:$F317,"Mobile Money",$E$3:$E317))</f>
        <v/>
      </c>
    </row>
    <row r="318" customFormat="false" ht="15" hidden="false" customHeight="false" outlineLevel="0" collapsed="false">
      <c r="A318" s="2"/>
      <c r="B318" s="4"/>
      <c r="C318" s="4"/>
      <c r="D318" s="5"/>
      <c r="E318" s="5"/>
      <c r="F318" s="4"/>
      <c r="G318" s="7" t="str">
        <f aca="false">IF(AND($D318="",$E318=""),"",$G$2+SUMIF($F$3:$F318,"Espèces",$D$3:$D318)-SUMIF($F$3:$F318,"Espèces",$E$3:$E318))</f>
        <v/>
      </c>
      <c r="H318" s="7" t="str">
        <f aca="false">IF(AND($D318="",$E318=""),"",$H$2+SUMIF($F$3:$F318,"Mobile Money",$D$3:$D318)-SUMIF($F$3:$F318,"Mobile Money",$E$3:$E318))</f>
        <v/>
      </c>
    </row>
    <row r="319" customFormat="false" ht="15" hidden="false" customHeight="false" outlineLevel="0" collapsed="false">
      <c r="A319" s="2"/>
      <c r="B319" s="4"/>
      <c r="C319" s="4"/>
      <c r="D319" s="5"/>
      <c r="E319" s="5"/>
      <c r="F319" s="4"/>
      <c r="G319" s="7" t="str">
        <f aca="false">IF(AND($D319="",$E319=""),"",$G$2+SUMIF($F$3:$F319,"Espèces",$D$3:$D319)-SUMIF($F$3:$F319,"Espèces",$E$3:$E319))</f>
        <v/>
      </c>
      <c r="H319" s="7" t="str">
        <f aca="false">IF(AND($D319="",$E319=""),"",$H$2+SUMIF($F$3:$F319,"Mobile Money",$D$3:$D319)-SUMIF($F$3:$F319,"Mobile Money",$E$3:$E319))</f>
        <v/>
      </c>
    </row>
    <row r="320" customFormat="false" ht="15" hidden="false" customHeight="false" outlineLevel="0" collapsed="false">
      <c r="A320" s="2"/>
      <c r="B320" s="4"/>
      <c r="C320" s="4"/>
      <c r="D320" s="5"/>
      <c r="E320" s="5"/>
      <c r="F320" s="4"/>
      <c r="G320" s="7" t="str">
        <f aca="false">IF(AND($D320="",$E320=""),"",$G$2+SUMIF($F$3:$F320,"Espèces",$D$3:$D320)-SUMIF($F$3:$F320,"Espèces",$E$3:$E320))</f>
        <v/>
      </c>
      <c r="H320" s="7" t="str">
        <f aca="false">IF(AND($D320="",$E320=""),"",$H$2+SUMIF($F$3:$F320,"Mobile Money",$D$3:$D320)-SUMIF($F$3:$F320,"Mobile Money",$E$3:$E320))</f>
        <v/>
      </c>
    </row>
    <row r="321" customFormat="false" ht="15" hidden="false" customHeight="false" outlineLevel="0" collapsed="false">
      <c r="A321" s="2"/>
      <c r="B321" s="4"/>
      <c r="C321" s="4"/>
      <c r="D321" s="5"/>
      <c r="E321" s="5"/>
      <c r="F321" s="4"/>
      <c r="G321" s="7" t="str">
        <f aca="false">IF(AND($D321="",$E321=""),"",$G$2+SUMIF($F$3:$F321,"Espèces",$D$3:$D321)-SUMIF($F$3:$F321,"Espèces",$E$3:$E321))</f>
        <v/>
      </c>
      <c r="H321" s="7" t="str">
        <f aca="false">IF(AND($D321="",$E321=""),"",$H$2+SUMIF($F$3:$F321,"Mobile Money",$D$3:$D321)-SUMIF($F$3:$F321,"Mobile Money",$E$3:$E321))</f>
        <v/>
      </c>
    </row>
    <row r="322" customFormat="false" ht="15" hidden="false" customHeight="false" outlineLevel="0" collapsed="false">
      <c r="A322" s="2"/>
      <c r="B322" s="4"/>
      <c r="C322" s="4"/>
      <c r="D322" s="5"/>
      <c r="E322" s="5"/>
      <c r="F322" s="4"/>
      <c r="G322" s="7" t="str">
        <f aca="false">IF(AND($D322="",$E322=""),"",$G$2+SUMIF($F$3:$F322,"Espèces",$D$3:$D322)-SUMIF($F$3:$F322,"Espèces",$E$3:$E322))</f>
        <v/>
      </c>
      <c r="H322" s="7" t="str">
        <f aca="false">IF(AND($D322="",$E322=""),"",$H$2+SUMIF($F$3:$F322,"Mobile Money",$D$3:$D322)-SUMIF($F$3:$F322,"Mobile Money",$E$3:$E322))</f>
        <v/>
      </c>
    </row>
    <row r="323" customFormat="false" ht="15" hidden="false" customHeight="false" outlineLevel="0" collapsed="false">
      <c r="A323" s="2"/>
      <c r="B323" s="4"/>
      <c r="C323" s="4"/>
      <c r="D323" s="5"/>
      <c r="E323" s="5"/>
      <c r="F323" s="4"/>
      <c r="G323" s="7" t="str">
        <f aca="false">IF(AND($D323="",$E323=""),"",$G$2+SUMIF($F$3:$F323,"Espèces",$D$3:$D323)-SUMIF($F$3:$F323,"Espèces",$E$3:$E323))</f>
        <v/>
      </c>
      <c r="H323" s="7" t="str">
        <f aca="false">IF(AND($D323="",$E323=""),"",$H$2+SUMIF($F$3:$F323,"Mobile Money",$D$3:$D323)-SUMIF($F$3:$F323,"Mobile Money",$E$3:$E323))</f>
        <v/>
      </c>
    </row>
    <row r="324" customFormat="false" ht="15" hidden="false" customHeight="false" outlineLevel="0" collapsed="false">
      <c r="A324" s="2"/>
      <c r="B324" s="4"/>
      <c r="C324" s="4"/>
      <c r="D324" s="5"/>
      <c r="E324" s="5"/>
      <c r="F324" s="4"/>
      <c r="G324" s="7" t="str">
        <f aca="false">IF(AND($D324="",$E324=""),"",$G$2+SUMIF($F$3:$F324,"Espèces",$D$3:$D324)-SUMIF($F$3:$F324,"Espèces",$E$3:$E324))</f>
        <v/>
      </c>
      <c r="H324" s="7" t="str">
        <f aca="false">IF(AND($D324="",$E324=""),"",$H$2+SUMIF($F$3:$F324,"Mobile Money",$D$3:$D324)-SUMIF($F$3:$F324,"Mobile Money",$E$3:$E324))</f>
        <v/>
      </c>
    </row>
    <row r="325" customFormat="false" ht="15" hidden="false" customHeight="false" outlineLevel="0" collapsed="false">
      <c r="A325" s="2"/>
      <c r="B325" s="4"/>
      <c r="C325" s="4"/>
      <c r="D325" s="5"/>
      <c r="E325" s="5"/>
      <c r="F325" s="4"/>
      <c r="G325" s="7" t="str">
        <f aca="false">IF(AND($D325="",$E325=""),"",$G$2+SUMIF($F$3:$F325,"Espèces",$D$3:$D325)-SUMIF($F$3:$F325,"Espèces",$E$3:$E325))</f>
        <v/>
      </c>
      <c r="H325" s="7" t="str">
        <f aca="false">IF(AND($D325="",$E325=""),"",$H$2+SUMIF($F$3:$F325,"Mobile Money",$D$3:$D325)-SUMIF($F$3:$F325,"Mobile Money",$E$3:$E325))</f>
        <v/>
      </c>
    </row>
    <row r="326" customFormat="false" ht="15" hidden="false" customHeight="false" outlineLevel="0" collapsed="false">
      <c r="A326" s="2"/>
      <c r="B326" s="4"/>
      <c r="C326" s="4"/>
      <c r="D326" s="5"/>
      <c r="E326" s="5"/>
      <c r="F326" s="4"/>
      <c r="G326" s="7" t="str">
        <f aca="false">IF(AND($D326="",$E326=""),"",$G$2+SUMIF($F$3:$F326,"Espèces",$D$3:$D326)-SUMIF($F$3:$F326,"Espèces",$E$3:$E326))</f>
        <v/>
      </c>
      <c r="H326" s="7" t="str">
        <f aca="false">IF(AND($D326="",$E326=""),"",$H$2+SUMIF($F$3:$F326,"Mobile Money",$D$3:$D326)-SUMIF($F$3:$F326,"Mobile Money",$E$3:$E326))</f>
        <v/>
      </c>
    </row>
    <row r="327" customFormat="false" ht="15" hidden="false" customHeight="false" outlineLevel="0" collapsed="false">
      <c r="A327" s="2"/>
      <c r="B327" s="4"/>
      <c r="C327" s="4"/>
      <c r="D327" s="5"/>
      <c r="E327" s="5"/>
      <c r="F327" s="4"/>
      <c r="G327" s="7" t="str">
        <f aca="false">IF(AND($D327="",$E327=""),"",$G$2+SUMIF($F$3:$F327,"Espèces",$D$3:$D327)-SUMIF($F$3:$F327,"Espèces",$E$3:$E327))</f>
        <v/>
      </c>
      <c r="H327" s="7" t="str">
        <f aca="false">IF(AND($D327="",$E327=""),"",$H$2+SUMIF($F$3:$F327,"Mobile Money",$D$3:$D327)-SUMIF($F$3:$F327,"Mobile Money",$E$3:$E327))</f>
        <v/>
      </c>
    </row>
    <row r="328" customFormat="false" ht="15" hidden="false" customHeight="false" outlineLevel="0" collapsed="false">
      <c r="A328" s="2"/>
      <c r="B328" s="4"/>
      <c r="C328" s="4"/>
      <c r="D328" s="5"/>
      <c r="E328" s="5"/>
      <c r="F328" s="4"/>
      <c r="G328" s="7" t="str">
        <f aca="false">IF(AND($D328="",$E328=""),"",$G$2+SUMIF($F$3:$F328,"Espèces",$D$3:$D328)-SUMIF($F$3:$F328,"Espèces",$E$3:$E328))</f>
        <v/>
      </c>
      <c r="H328" s="7" t="str">
        <f aca="false">IF(AND($D328="",$E328=""),"",$H$2+SUMIF($F$3:$F328,"Mobile Money",$D$3:$D328)-SUMIF($F$3:$F328,"Mobile Money",$E$3:$E328))</f>
        <v/>
      </c>
    </row>
    <row r="329" customFormat="false" ht="15" hidden="false" customHeight="false" outlineLevel="0" collapsed="false">
      <c r="A329" s="2"/>
      <c r="B329" s="4"/>
      <c r="C329" s="4"/>
      <c r="D329" s="5"/>
      <c r="E329" s="5"/>
      <c r="F329" s="4"/>
      <c r="G329" s="7" t="str">
        <f aca="false">IF(AND($D329="",$E329=""),"",$G$2+SUMIF($F$3:$F329,"Espèces",$D$3:$D329)-SUMIF($F$3:$F329,"Espèces",$E$3:$E329))</f>
        <v/>
      </c>
      <c r="H329" s="7" t="str">
        <f aca="false">IF(AND($D329="",$E329=""),"",$H$2+SUMIF($F$3:$F329,"Mobile Money",$D$3:$D329)-SUMIF($F$3:$F329,"Mobile Money",$E$3:$E329))</f>
        <v/>
      </c>
    </row>
    <row r="330" customFormat="false" ht="15" hidden="false" customHeight="false" outlineLevel="0" collapsed="false">
      <c r="A330" s="2"/>
      <c r="B330" s="4"/>
      <c r="C330" s="4"/>
      <c r="D330" s="5"/>
      <c r="E330" s="5"/>
      <c r="F330" s="4"/>
      <c r="G330" s="7" t="str">
        <f aca="false">IF(AND($D330="",$E330=""),"",$G$2+SUMIF($F$3:$F330,"Espèces",$D$3:$D330)-SUMIF($F$3:$F330,"Espèces",$E$3:$E330))</f>
        <v/>
      </c>
      <c r="H330" s="7" t="str">
        <f aca="false">IF(AND($D330="",$E330=""),"",$H$2+SUMIF($F$3:$F330,"Mobile Money",$D$3:$D330)-SUMIF($F$3:$F330,"Mobile Money",$E$3:$E330))</f>
        <v/>
      </c>
    </row>
    <row r="331" customFormat="false" ht="15" hidden="false" customHeight="false" outlineLevel="0" collapsed="false">
      <c r="A331" s="2"/>
      <c r="B331" s="4"/>
      <c r="C331" s="4"/>
      <c r="D331" s="5"/>
      <c r="E331" s="5"/>
      <c r="F331" s="4"/>
      <c r="G331" s="7" t="str">
        <f aca="false">IF(AND($D331="",$E331=""),"",$G$2+SUMIF($F$3:$F331,"Espèces",$D$3:$D331)-SUMIF($F$3:$F331,"Espèces",$E$3:$E331))</f>
        <v/>
      </c>
      <c r="H331" s="7" t="str">
        <f aca="false">IF(AND($D331="",$E331=""),"",$H$2+SUMIF($F$3:$F331,"Mobile Money",$D$3:$D331)-SUMIF($F$3:$F331,"Mobile Money",$E$3:$E331))</f>
        <v/>
      </c>
    </row>
    <row r="332" customFormat="false" ht="15" hidden="false" customHeight="false" outlineLevel="0" collapsed="false">
      <c r="A332" s="2"/>
      <c r="B332" s="4"/>
      <c r="C332" s="4"/>
      <c r="D332" s="5"/>
      <c r="E332" s="5"/>
      <c r="F332" s="4"/>
      <c r="G332" s="7" t="str">
        <f aca="false">IF(AND($D332="",$E332=""),"",$G$2+SUMIF($F$3:$F332,"Espèces",$D$3:$D332)-SUMIF($F$3:$F332,"Espèces",$E$3:$E332))</f>
        <v/>
      </c>
      <c r="H332" s="7" t="str">
        <f aca="false">IF(AND($D332="",$E332=""),"",$H$2+SUMIF($F$3:$F332,"Mobile Money",$D$3:$D332)-SUMIF($F$3:$F332,"Mobile Money",$E$3:$E332))</f>
        <v/>
      </c>
    </row>
    <row r="333" customFormat="false" ht="15" hidden="false" customHeight="false" outlineLevel="0" collapsed="false">
      <c r="A333" s="2"/>
      <c r="B333" s="4"/>
      <c r="C333" s="4"/>
      <c r="D333" s="5"/>
      <c r="E333" s="5"/>
      <c r="F333" s="4"/>
      <c r="G333" s="7" t="str">
        <f aca="false">IF(AND($D333="",$E333=""),"",$G$2+SUMIF($F$3:$F333,"Espèces",$D$3:$D333)-SUMIF($F$3:$F333,"Espèces",$E$3:$E333))</f>
        <v/>
      </c>
      <c r="H333" s="7" t="str">
        <f aca="false">IF(AND($D333="",$E333=""),"",$H$2+SUMIF($F$3:$F333,"Mobile Money",$D$3:$D333)-SUMIF($F$3:$F333,"Mobile Money",$E$3:$E333))</f>
        <v/>
      </c>
    </row>
    <row r="334" customFormat="false" ht="15" hidden="false" customHeight="false" outlineLevel="0" collapsed="false">
      <c r="A334" s="2"/>
      <c r="B334" s="4"/>
      <c r="C334" s="4"/>
      <c r="D334" s="5"/>
      <c r="E334" s="5"/>
      <c r="F334" s="4"/>
      <c r="G334" s="7" t="str">
        <f aca="false">IF(AND($D334="",$E334=""),"",$G$2+SUMIF($F$3:$F334,"Espèces",$D$3:$D334)-SUMIF($F$3:$F334,"Espèces",$E$3:$E334))</f>
        <v/>
      </c>
      <c r="H334" s="7" t="str">
        <f aca="false">IF(AND($D334="",$E334=""),"",$H$2+SUMIF($F$3:$F334,"Mobile Money",$D$3:$D334)-SUMIF($F$3:$F334,"Mobile Money",$E$3:$E334))</f>
        <v/>
      </c>
    </row>
    <row r="335" customFormat="false" ht="15" hidden="false" customHeight="false" outlineLevel="0" collapsed="false">
      <c r="A335" s="2"/>
      <c r="B335" s="4"/>
      <c r="C335" s="4"/>
      <c r="D335" s="5"/>
      <c r="E335" s="5"/>
      <c r="F335" s="4"/>
      <c r="G335" s="7" t="str">
        <f aca="false">IF(AND($D335="",$E335=""),"",$G$2+SUMIF($F$3:$F335,"Espèces",$D$3:$D335)-SUMIF($F$3:$F335,"Espèces",$E$3:$E335))</f>
        <v/>
      </c>
      <c r="H335" s="7" t="str">
        <f aca="false">IF(AND($D335="",$E335=""),"",$H$2+SUMIF($F$3:$F335,"Mobile Money",$D$3:$D335)-SUMIF($F$3:$F335,"Mobile Money",$E$3:$E335))</f>
        <v/>
      </c>
    </row>
    <row r="336" customFormat="false" ht="15" hidden="false" customHeight="false" outlineLevel="0" collapsed="false">
      <c r="A336" s="2"/>
      <c r="B336" s="4"/>
      <c r="C336" s="4"/>
      <c r="D336" s="5"/>
      <c r="E336" s="5"/>
      <c r="F336" s="4"/>
      <c r="G336" s="7" t="str">
        <f aca="false">IF(AND($D336="",$E336=""),"",$G$2+SUMIF($F$3:$F336,"Espèces",$D$3:$D336)-SUMIF($F$3:$F336,"Espèces",$E$3:$E336))</f>
        <v/>
      </c>
      <c r="H336" s="7" t="str">
        <f aca="false">IF(AND($D336="",$E336=""),"",$H$2+SUMIF($F$3:$F336,"Mobile Money",$D$3:$D336)-SUMIF($F$3:$F336,"Mobile Money",$E$3:$E336))</f>
        <v/>
      </c>
    </row>
    <row r="337" customFormat="false" ht="15" hidden="false" customHeight="false" outlineLevel="0" collapsed="false">
      <c r="A337" s="2"/>
      <c r="B337" s="4"/>
      <c r="C337" s="4"/>
      <c r="D337" s="5"/>
      <c r="E337" s="5"/>
      <c r="F337" s="4"/>
      <c r="G337" s="7" t="str">
        <f aca="false">IF(AND($D337="",$E337=""),"",$G$2+SUMIF($F$3:$F337,"Espèces",$D$3:$D337)-SUMIF($F$3:$F337,"Espèces",$E$3:$E337))</f>
        <v/>
      </c>
      <c r="H337" s="7" t="str">
        <f aca="false">IF(AND($D337="",$E337=""),"",$H$2+SUMIF($F$3:$F337,"Mobile Money",$D$3:$D337)-SUMIF($F$3:$F337,"Mobile Money",$E$3:$E337))</f>
        <v/>
      </c>
    </row>
    <row r="338" customFormat="false" ht="15" hidden="false" customHeight="false" outlineLevel="0" collapsed="false">
      <c r="A338" s="2"/>
      <c r="B338" s="4"/>
      <c r="C338" s="4"/>
      <c r="D338" s="5"/>
      <c r="E338" s="5"/>
      <c r="F338" s="4"/>
      <c r="G338" s="7" t="str">
        <f aca="false">IF(AND($D338="",$E338=""),"",$G$2+SUMIF($F$3:$F338,"Espèces",$D$3:$D338)-SUMIF($F$3:$F338,"Espèces",$E$3:$E338))</f>
        <v/>
      </c>
      <c r="H338" s="7" t="str">
        <f aca="false">IF(AND($D338="",$E338=""),"",$H$2+SUMIF($F$3:$F338,"Mobile Money",$D$3:$D338)-SUMIF($F$3:$F338,"Mobile Money",$E$3:$E338))</f>
        <v/>
      </c>
    </row>
    <row r="339" customFormat="false" ht="15" hidden="false" customHeight="false" outlineLevel="0" collapsed="false">
      <c r="A339" s="2"/>
      <c r="B339" s="4"/>
      <c r="C339" s="4"/>
      <c r="D339" s="5"/>
      <c r="E339" s="5"/>
      <c r="F339" s="4"/>
      <c r="G339" s="7" t="str">
        <f aca="false">IF(AND($D339="",$E339=""),"",$G$2+SUMIF($F$3:$F339,"Espèces",$D$3:$D339)-SUMIF($F$3:$F339,"Espèces",$E$3:$E339))</f>
        <v/>
      </c>
      <c r="H339" s="7" t="str">
        <f aca="false">IF(AND($D339="",$E339=""),"",$H$2+SUMIF($F$3:$F339,"Mobile Money",$D$3:$D339)-SUMIF($F$3:$F339,"Mobile Money",$E$3:$E339))</f>
        <v/>
      </c>
    </row>
    <row r="340" customFormat="false" ht="15" hidden="false" customHeight="false" outlineLevel="0" collapsed="false">
      <c r="A340" s="2"/>
      <c r="B340" s="4"/>
      <c r="C340" s="4"/>
      <c r="D340" s="5"/>
      <c r="E340" s="5"/>
      <c r="F340" s="4"/>
      <c r="G340" s="7" t="str">
        <f aca="false">IF(AND($D340="",$E340=""),"",$G$2+SUMIF($F$3:$F340,"Espèces",$D$3:$D340)-SUMIF($F$3:$F340,"Espèces",$E$3:$E340))</f>
        <v/>
      </c>
      <c r="H340" s="7" t="str">
        <f aca="false">IF(AND($D340="",$E340=""),"",$H$2+SUMIF($F$3:$F340,"Mobile Money",$D$3:$D340)-SUMIF($F$3:$F340,"Mobile Money",$E$3:$E340))</f>
        <v/>
      </c>
    </row>
    <row r="341" customFormat="false" ht="15" hidden="false" customHeight="false" outlineLevel="0" collapsed="false">
      <c r="A341" s="2"/>
      <c r="B341" s="4"/>
      <c r="C341" s="4"/>
      <c r="D341" s="5"/>
      <c r="E341" s="5"/>
      <c r="F341" s="4"/>
      <c r="G341" s="7" t="str">
        <f aca="false">IF(AND($D341="",$E341=""),"",$G$2+SUMIF($F$3:$F341,"Espèces",$D$3:$D341)-SUMIF($F$3:$F341,"Espèces",$E$3:$E341))</f>
        <v/>
      </c>
      <c r="H341" s="7" t="str">
        <f aca="false">IF(AND($D341="",$E341=""),"",$H$2+SUMIF($F$3:$F341,"Mobile Money",$D$3:$D341)-SUMIF($F$3:$F341,"Mobile Money",$E$3:$E341))</f>
        <v/>
      </c>
    </row>
    <row r="342" customFormat="false" ht="15" hidden="false" customHeight="false" outlineLevel="0" collapsed="false">
      <c r="A342" s="2"/>
      <c r="B342" s="4"/>
      <c r="C342" s="4"/>
      <c r="D342" s="5"/>
      <c r="E342" s="5"/>
      <c r="F342" s="4"/>
      <c r="G342" s="7" t="str">
        <f aca="false">IF(AND($D342="",$E342=""),"",$G$2+SUMIF($F$3:$F342,"Espèces",$D$3:$D342)-SUMIF($F$3:$F342,"Espèces",$E$3:$E342))</f>
        <v/>
      </c>
      <c r="H342" s="7" t="str">
        <f aca="false">IF(AND($D342="",$E342=""),"",$H$2+SUMIF($F$3:$F342,"Mobile Money",$D$3:$D342)-SUMIF($F$3:$F342,"Mobile Money",$E$3:$E342))</f>
        <v/>
      </c>
    </row>
    <row r="343" customFormat="false" ht="15" hidden="false" customHeight="false" outlineLevel="0" collapsed="false">
      <c r="A343" s="2"/>
      <c r="B343" s="4"/>
      <c r="C343" s="4"/>
      <c r="D343" s="5"/>
      <c r="E343" s="5"/>
      <c r="F343" s="4"/>
      <c r="G343" s="7" t="str">
        <f aca="false">IF(AND($D343="",$E343=""),"",$G$2+SUMIF($F$3:$F343,"Espèces",$D$3:$D343)-SUMIF($F$3:$F343,"Espèces",$E$3:$E343))</f>
        <v/>
      </c>
      <c r="H343" s="7" t="str">
        <f aca="false">IF(AND($D343="",$E343=""),"",$H$2+SUMIF($F$3:$F343,"Mobile Money",$D$3:$D343)-SUMIF($F$3:$F343,"Mobile Money",$E$3:$E343))</f>
        <v/>
      </c>
    </row>
    <row r="344" customFormat="false" ht="15" hidden="false" customHeight="false" outlineLevel="0" collapsed="false">
      <c r="A344" s="2"/>
      <c r="B344" s="4"/>
      <c r="C344" s="4"/>
      <c r="D344" s="5"/>
      <c r="E344" s="5"/>
      <c r="F344" s="4"/>
      <c r="G344" s="7" t="str">
        <f aca="false">IF(AND($D344="",$E344=""),"",$G$2+SUMIF($F$3:$F344,"Espèces",$D$3:$D344)-SUMIF($F$3:$F344,"Espèces",$E$3:$E344))</f>
        <v/>
      </c>
      <c r="H344" s="7" t="str">
        <f aca="false">IF(AND($D344="",$E344=""),"",$H$2+SUMIF($F$3:$F344,"Mobile Money",$D$3:$D344)-SUMIF($F$3:$F344,"Mobile Money",$E$3:$E344))</f>
        <v/>
      </c>
    </row>
    <row r="345" customFormat="false" ht="15" hidden="false" customHeight="false" outlineLevel="0" collapsed="false">
      <c r="A345" s="2"/>
      <c r="B345" s="4"/>
      <c r="C345" s="4"/>
      <c r="D345" s="5"/>
      <c r="E345" s="5"/>
      <c r="F345" s="4"/>
      <c r="G345" s="7" t="str">
        <f aca="false">IF(AND($D345="",$E345=""),"",$G$2+SUMIF($F$3:$F345,"Espèces",$D$3:$D345)-SUMIF($F$3:$F345,"Espèces",$E$3:$E345))</f>
        <v/>
      </c>
      <c r="H345" s="7" t="str">
        <f aca="false">IF(AND($D345="",$E345=""),"",$H$2+SUMIF($F$3:$F345,"Mobile Money",$D$3:$D345)-SUMIF($F$3:$F345,"Mobile Money",$E$3:$E345))</f>
        <v/>
      </c>
    </row>
    <row r="346" customFormat="false" ht="15" hidden="false" customHeight="false" outlineLevel="0" collapsed="false">
      <c r="A346" s="2"/>
      <c r="B346" s="4"/>
      <c r="C346" s="4"/>
      <c r="D346" s="5"/>
      <c r="E346" s="5"/>
      <c r="F346" s="4"/>
      <c r="G346" s="7" t="str">
        <f aca="false">IF(AND($D346="",$E346=""),"",$G$2+SUMIF($F$3:$F346,"Espèces",$D$3:$D346)-SUMIF($F$3:$F346,"Espèces",$E$3:$E346))</f>
        <v/>
      </c>
      <c r="H346" s="7" t="str">
        <f aca="false">IF(AND($D346="",$E346=""),"",$H$2+SUMIF($F$3:$F346,"Mobile Money",$D$3:$D346)-SUMIF($F$3:$F346,"Mobile Money",$E$3:$E346))</f>
        <v/>
      </c>
    </row>
    <row r="347" customFormat="false" ht="15" hidden="false" customHeight="false" outlineLevel="0" collapsed="false">
      <c r="A347" s="2"/>
      <c r="B347" s="4"/>
      <c r="C347" s="4"/>
      <c r="D347" s="5"/>
      <c r="E347" s="5"/>
      <c r="F347" s="4"/>
      <c r="G347" s="7" t="str">
        <f aca="false">IF(AND($D347="",$E347=""),"",$G$2+SUMIF($F$3:$F347,"Espèces",$D$3:$D347)-SUMIF($F$3:$F347,"Espèces",$E$3:$E347))</f>
        <v/>
      </c>
      <c r="H347" s="7" t="str">
        <f aca="false">IF(AND($D347="",$E347=""),"",$H$2+SUMIF($F$3:$F347,"Mobile Money",$D$3:$D347)-SUMIF($F$3:$F347,"Mobile Money",$E$3:$E347))</f>
        <v/>
      </c>
    </row>
    <row r="348" customFormat="false" ht="15" hidden="false" customHeight="false" outlineLevel="0" collapsed="false">
      <c r="A348" s="2"/>
      <c r="B348" s="4"/>
      <c r="C348" s="4"/>
      <c r="D348" s="5"/>
      <c r="E348" s="5"/>
      <c r="F348" s="4"/>
      <c r="G348" s="7" t="str">
        <f aca="false">IF(AND($D348="",$E348=""),"",$G$2+SUMIF($F$3:$F348,"Espèces",$D$3:$D348)-SUMIF($F$3:$F348,"Espèces",$E$3:$E348))</f>
        <v/>
      </c>
      <c r="H348" s="7" t="str">
        <f aca="false">IF(AND($D348="",$E348=""),"",$H$2+SUMIF($F$3:$F348,"Mobile Money",$D$3:$D348)-SUMIF($F$3:$F348,"Mobile Money",$E$3:$E348))</f>
        <v/>
      </c>
    </row>
    <row r="349" customFormat="false" ht="15" hidden="false" customHeight="false" outlineLevel="0" collapsed="false">
      <c r="A349" s="2"/>
      <c r="B349" s="4"/>
      <c r="C349" s="4"/>
      <c r="D349" s="5"/>
      <c r="E349" s="5"/>
      <c r="F349" s="4"/>
      <c r="G349" s="7" t="str">
        <f aca="false">IF(AND($D349="",$E349=""),"",$G$2+SUMIF($F$3:$F349,"Espèces",$D$3:$D349)-SUMIF($F$3:$F349,"Espèces",$E$3:$E349))</f>
        <v/>
      </c>
      <c r="H349" s="7" t="str">
        <f aca="false">IF(AND($D349="",$E349=""),"",$H$2+SUMIF($F$3:$F349,"Mobile Money",$D$3:$D349)-SUMIF($F$3:$F349,"Mobile Money",$E$3:$E349))</f>
        <v/>
      </c>
    </row>
    <row r="350" customFormat="false" ht="15" hidden="false" customHeight="false" outlineLevel="0" collapsed="false">
      <c r="A350" s="2"/>
      <c r="B350" s="4"/>
      <c r="C350" s="4"/>
      <c r="D350" s="5"/>
      <c r="E350" s="5"/>
      <c r="F350" s="4"/>
      <c r="G350" s="7" t="str">
        <f aca="false">IF(AND($D350="",$E350=""),"",$G$2+SUMIF($F$3:$F350,"Espèces",$D$3:$D350)-SUMIF($F$3:$F350,"Espèces",$E$3:$E350))</f>
        <v/>
      </c>
      <c r="H350" s="7" t="str">
        <f aca="false">IF(AND($D350="",$E350=""),"",$H$2+SUMIF($F$3:$F350,"Mobile Money",$D$3:$D350)-SUMIF($F$3:$F350,"Mobile Money",$E$3:$E350))</f>
        <v/>
      </c>
    </row>
    <row r="351" customFormat="false" ht="15" hidden="false" customHeight="false" outlineLevel="0" collapsed="false">
      <c r="A351" s="2"/>
      <c r="B351" s="4"/>
      <c r="C351" s="4"/>
      <c r="D351" s="5"/>
      <c r="E351" s="5"/>
      <c r="F351" s="4"/>
      <c r="G351" s="7" t="str">
        <f aca="false">IF(AND($D351="",$E351=""),"",$G$2+SUMIF($F$3:$F351,"Espèces",$D$3:$D351)-SUMIF($F$3:$F351,"Espèces",$E$3:$E351))</f>
        <v/>
      </c>
      <c r="H351" s="7" t="str">
        <f aca="false">IF(AND($D351="",$E351=""),"",$H$2+SUMIF($F$3:$F351,"Mobile Money",$D$3:$D351)-SUMIF($F$3:$F351,"Mobile Money",$E$3:$E351))</f>
        <v/>
      </c>
    </row>
    <row r="352" customFormat="false" ht="15" hidden="false" customHeight="false" outlineLevel="0" collapsed="false">
      <c r="A352" s="2"/>
      <c r="B352" s="4"/>
      <c r="C352" s="4"/>
      <c r="D352" s="5"/>
      <c r="E352" s="5"/>
      <c r="F352" s="4"/>
      <c r="G352" s="7" t="str">
        <f aca="false">IF(AND($D352="",$E352=""),"",$G$2+SUMIF($F$3:$F352,"Espèces",$D$3:$D352)-SUMIF($F$3:$F352,"Espèces",$E$3:$E352))</f>
        <v/>
      </c>
      <c r="H352" s="7" t="str">
        <f aca="false">IF(AND($D352="",$E352=""),"",$H$2+SUMIF($F$3:$F352,"Mobile Money",$D$3:$D352)-SUMIF($F$3:$F352,"Mobile Money",$E$3:$E352))</f>
        <v/>
      </c>
    </row>
    <row r="353" customFormat="false" ht="15" hidden="false" customHeight="false" outlineLevel="0" collapsed="false">
      <c r="A353" s="2"/>
      <c r="B353" s="4"/>
      <c r="C353" s="4"/>
      <c r="D353" s="5"/>
      <c r="E353" s="5"/>
      <c r="F353" s="4"/>
      <c r="G353" s="7" t="str">
        <f aca="false">IF(AND($D353="",$E353=""),"",$G$2+SUMIF($F$3:$F353,"Espèces",$D$3:$D353)-SUMIF($F$3:$F353,"Espèces",$E$3:$E353))</f>
        <v/>
      </c>
      <c r="H353" s="7" t="str">
        <f aca="false">IF(AND($D353="",$E353=""),"",$H$2+SUMIF($F$3:$F353,"Mobile Money",$D$3:$D353)-SUMIF($F$3:$F353,"Mobile Money",$E$3:$E353))</f>
        <v/>
      </c>
    </row>
    <row r="354" customFormat="false" ht="15" hidden="false" customHeight="false" outlineLevel="0" collapsed="false">
      <c r="A354" s="2"/>
      <c r="B354" s="4"/>
      <c r="C354" s="4"/>
      <c r="D354" s="5"/>
      <c r="E354" s="5"/>
      <c r="F354" s="4"/>
      <c r="G354" s="7" t="str">
        <f aca="false">IF(AND($D354="",$E354=""),"",$G$2+SUMIF($F$3:$F354,"Espèces",$D$3:$D354)-SUMIF($F$3:$F354,"Espèces",$E$3:$E354))</f>
        <v/>
      </c>
      <c r="H354" s="7" t="str">
        <f aca="false">IF(AND($D354="",$E354=""),"",$H$2+SUMIF($F$3:$F354,"Mobile Money",$D$3:$D354)-SUMIF($F$3:$F354,"Mobile Money",$E$3:$E354))</f>
        <v/>
      </c>
    </row>
    <row r="355" customFormat="false" ht="15" hidden="false" customHeight="false" outlineLevel="0" collapsed="false">
      <c r="A355" s="2"/>
      <c r="B355" s="4"/>
      <c r="C355" s="4"/>
      <c r="D355" s="5"/>
      <c r="E355" s="5"/>
      <c r="F355" s="4"/>
      <c r="G355" s="7" t="str">
        <f aca="false">IF(AND($D355="",$E355=""),"",$G$2+SUMIF($F$3:$F355,"Espèces",$D$3:$D355)-SUMIF($F$3:$F355,"Espèces",$E$3:$E355))</f>
        <v/>
      </c>
      <c r="H355" s="7" t="str">
        <f aca="false">IF(AND($D355="",$E355=""),"",$H$2+SUMIF($F$3:$F355,"Mobile Money",$D$3:$D355)-SUMIF($F$3:$F355,"Mobile Money",$E$3:$E355))</f>
        <v/>
      </c>
    </row>
    <row r="356" customFormat="false" ht="15" hidden="false" customHeight="false" outlineLevel="0" collapsed="false">
      <c r="A356" s="2"/>
      <c r="B356" s="4"/>
      <c r="C356" s="4"/>
      <c r="D356" s="5"/>
      <c r="E356" s="5"/>
      <c r="F356" s="4"/>
      <c r="G356" s="7" t="str">
        <f aca="false">IF(AND($D356="",$E356=""),"",$G$2+SUMIF($F$3:$F356,"Espèces",$D$3:$D356)-SUMIF($F$3:$F356,"Espèces",$E$3:$E356))</f>
        <v/>
      </c>
      <c r="H356" s="7" t="str">
        <f aca="false">IF(AND($D356="",$E356=""),"",$H$2+SUMIF($F$3:$F356,"Mobile Money",$D$3:$D356)-SUMIF($F$3:$F356,"Mobile Money",$E$3:$E356))</f>
        <v/>
      </c>
    </row>
    <row r="357" customFormat="false" ht="15" hidden="false" customHeight="false" outlineLevel="0" collapsed="false">
      <c r="A357" s="2"/>
      <c r="B357" s="4"/>
      <c r="C357" s="4"/>
      <c r="D357" s="5"/>
      <c r="E357" s="5"/>
      <c r="F357" s="4"/>
      <c r="G357" s="7" t="str">
        <f aca="false">IF(AND($D357="",$E357=""),"",$G$2+SUMIF($F$3:$F357,"Espèces",$D$3:$D357)-SUMIF($F$3:$F357,"Espèces",$E$3:$E357))</f>
        <v/>
      </c>
      <c r="H357" s="7" t="str">
        <f aca="false">IF(AND($D357="",$E357=""),"",$H$2+SUMIF($F$3:$F357,"Mobile Money",$D$3:$D357)-SUMIF($F$3:$F357,"Mobile Money",$E$3:$E357))</f>
        <v/>
      </c>
    </row>
    <row r="358" customFormat="false" ht="15" hidden="false" customHeight="false" outlineLevel="0" collapsed="false">
      <c r="A358" s="2"/>
      <c r="B358" s="4"/>
      <c r="C358" s="4"/>
      <c r="D358" s="5"/>
      <c r="E358" s="5"/>
      <c r="F358" s="4"/>
      <c r="G358" s="7" t="str">
        <f aca="false">IF(AND($D358="",$E358=""),"",$G$2+SUMIF($F$3:$F358,"Espèces",$D$3:$D358)-SUMIF($F$3:$F358,"Espèces",$E$3:$E358))</f>
        <v/>
      </c>
      <c r="H358" s="7" t="str">
        <f aca="false">IF(AND($D358="",$E358=""),"",$H$2+SUMIF($F$3:$F358,"Mobile Money",$D$3:$D358)-SUMIF($F$3:$F358,"Mobile Money",$E$3:$E358))</f>
        <v/>
      </c>
    </row>
    <row r="359" customFormat="false" ht="15" hidden="false" customHeight="false" outlineLevel="0" collapsed="false">
      <c r="A359" s="2"/>
      <c r="B359" s="4"/>
      <c r="C359" s="4"/>
      <c r="D359" s="5"/>
      <c r="E359" s="5"/>
      <c r="F359" s="4"/>
      <c r="G359" s="7" t="str">
        <f aca="false">IF(AND($D359="",$E359=""),"",$G$2+SUMIF($F$3:$F359,"Espèces",$D$3:$D359)-SUMIF($F$3:$F359,"Espèces",$E$3:$E359))</f>
        <v/>
      </c>
      <c r="H359" s="7" t="str">
        <f aca="false">IF(AND($D359="",$E359=""),"",$H$2+SUMIF($F$3:$F359,"Mobile Money",$D$3:$D359)-SUMIF($F$3:$F359,"Mobile Money",$E$3:$E359))</f>
        <v/>
      </c>
    </row>
    <row r="360" customFormat="false" ht="15" hidden="false" customHeight="false" outlineLevel="0" collapsed="false">
      <c r="A360" s="2"/>
      <c r="B360" s="4"/>
      <c r="C360" s="4"/>
      <c r="D360" s="5"/>
      <c r="E360" s="5"/>
      <c r="F360" s="4"/>
      <c r="G360" s="7" t="str">
        <f aca="false">IF(AND($D360="",$E360=""),"",$G$2+SUMIF($F$3:$F360,"Espèces",$D$3:$D360)-SUMIF($F$3:$F360,"Espèces",$E$3:$E360))</f>
        <v/>
      </c>
      <c r="H360" s="7" t="str">
        <f aca="false">IF(AND($D360="",$E360=""),"",$H$2+SUMIF($F$3:$F360,"Mobile Money",$D$3:$D360)-SUMIF($F$3:$F360,"Mobile Money",$E$3:$E360))</f>
        <v/>
      </c>
    </row>
    <row r="361" customFormat="false" ht="15" hidden="false" customHeight="false" outlineLevel="0" collapsed="false">
      <c r="A361" s="2"/>
      <c r="B361" s="4"/>
      <c r="C361" s="4"/>
      <c r="D361" s="5"/>
      <c r="E361" s="5"/>
      <c r="F361" s="4"/>
      <c r="G361" s="7" t="str">
        <f aca="false">IF(AND($D361="",$E361=""),"",$G$2+SUMIF($F$3:$F361,"Espèces",$D$3:$D361)-SUMIF($F$3:$F361,"Espèces",$E$3:$E361))</f>
        <v/>
      </c>
      <c r="H361" s="7" t="str">
        <f aca="false">IF(AND($D361="",$E361=""),"",$H$2+SUMIF($F$3:$F361,"Mobile Money",$D$3:$D361)-SUMIF($F$3:$F361,"Mobile Money",$E$3:$E361))</f>
        <v/>
      </c>
    </row>
    <row r="362" customFormat="false" ht="15" hidden="false" customHeight="false" outlineLevel="0" collapsed="false">
      <c r="A362" s="2"/>
      <c r="B362" s="4"/>
      <c r="C362" s="4"/>
      <c r="D362" s="5"/>
      <c r="E362" s="5"/>
      <c r="F362" s="4"/>
      <c r="G362" s="7" t="str">
        <f aca="false">IF(AND($D362="",$E362=""),"",$G$2+SUMIF($F$3:$F362,"Espèces",$D$3:$D362)-SUMIF($F$3:$F362,"Espèces",$E$3:$E362))</f>
        <v/>
      </c>
      <c r="H362" s="7" t="str">
        <f aca="false">IF(AND($D362="",$E362=""),"",$H$2+SUMIF($F$3:$F362,"Mobile Money",$D$3:$D362)-SUMIF($F$3:$F362,"Mobile Money",$E$3:$E362))</f>
        <v/>
      </c>
    </row>
    <row r="363" customFormat="false" ht="15" hidden="false" customHeight="false" outlineLevel="0" collapsed="false">
      <c r="A363" s="2"/>
      <c r="B363" s="4"/>
      <c r="C363" s="4"/>
      <c r="D363" s="5"/>
      <c r="E363" s="5"/>
      <c r="F363" s="4"/>
      <c r="G363" s="7" t="str">
        <f aca="false">IF(AND($D363="",$E363=""),"",$G$2+SUMIF($F$3:$F363,"Espèces",$D$3:$D363)-SUMIF($F$3:$F363,"Espèces",$E$3:$E363))</f>
        <v/>
      </c>
      <c r="H363" s="7" t="str">
        <f aca="false">IF(AND($D363="",$E363=""),"",$H$2+SUMIF($F$3:$F363,"Mobile Money",$D$3:$D363)-SUMIF($F$3:$F363,"Mobile Money",$E$3:$E363))</f>
        <v/>
      </c>
    </row>
    <row r="364" customFormat="false" ht="15" hidden="false" customHeight="false" outlineLevel="0" collapsed="false">
      <c r="A364" s="2"/>
      <c r="B364" s="4"/>
      <c r="C364" s="4"/>
      <c r="D364" s="5"/>
      <c r="E364" s="5"/>
      <c r="F364" s="4"/>
      <c r="G364" s="7" t="str">
        <f aca="false">IF(AND($D364="",$E364=""),"",$G$2+SUMIF($F$3:$F364,"Espèces",$D$3:$D364)-SUMIF($F$3:$F364,"Espèces",$E$3:$E364))</f>
        <v/>
      </c>
      <c r="H364" s="7" t="str">
        <f aca="false">IF(AND($D364="",$E364=""),"",$H$2+SUMIF($F$3:$F364,"Mobile Money",$D$3:$D364)-SUMIF($F$3:$F364,"Mobile Money",$E$3:$E364))</f>
        <v/>
      </c>
    </row>
    <row r="365" customFormat="false" ht="15" hidden="false" customHeight="false" outlineLevel="0" collapsed="false">
      <c r="A365" s="2"/>
      <c r="B365" s="4"/>
      <c r="C365" s="4"/>
      <c r="D365" s="5"/>
      <c r="E365" s="5"/>
      <c r="F365" s="4"/>
      <c r="G365" s="7" t="str">
        <f aca="false">IF(AND($D365="",$E365=""),"",$G$2+SUMIF($F$3:$F365,"Espèces",$D$3:$D365)-SUMIF($F$3:$F365,"Espèces",$E$3:$E365))</f>
        <v/>
      </c>
      <c r="H365" s="7" t="str">
        <f aca="false">IF(AND($D365="",$E365=""),"",$H$2+SUMIF($F$3:$F365,"Mobile Money",$D$3:$D365)-SUMIF($F$3:$F365,"Mobile Money",$E$3:$E365))</f>
        <v/>
      </c>
    </row>
    <row r="366" customFormat="false" ht="15" hidden="false" customHeight="false" outlineLevel="0" collapsed="false">
      <c r="A366" s="2"/>
      <c r="B366" s="4"/>
      <c r="C366" s="4"/>
      <c r="D366" s="5"/>
      <c r="E366" s="5"/>
      <c r="F366" s="4"/>
      <c r="G366" s="7" t="str">
        <f aca="false">IF(AND($D366="",$E366=""),"",$G$2+SUMIF($F$3:$F366,"Espèces",$D$3:$D366)-SUMIF($F$3:$F366,"Espèces",$E$3:$E366))</f>
        <v/>
      </c>
      <c r="H366" s="7" t="str">
        <f aca="false">IF(AND($D366="",$E366=""),"",$H$2+SUMIF($F$3:$F366,"Mobile Money",$D$3:$D366)-SUMIF($F$3:$F366,"Mobile Money",$E$3:$E366))</f>
        <v/>
      </c>
    </row>
    <row r="367" customFormat="false" ht="15" hidden="false" customHeight="false" outlineLevel="0" collapsed="false">
      <c r="A367" s="2"/>
      <c r="B367" s="4"/>
      <c r="C367" s="4"/>
      <c r="D367" s="5"/>
      <c r="E367" s="5"/>
      <c r="F367" s="4"/>
      <c r="G367" s="7" t="str">
        <f aca="false">IF(AND($D367="",$E367=""),"",$G$2+SUMIF($F$3:$F367,"Espèces",$D$3:$D367)-SUMIF($F$3:$F367,"Espèces",$E$3:$E367))</f>
        <v/>
      </c>
      <c r="H367" s="7" t="str">
        <f aca="false">IF(AND($D367="",$E367=""),"",$H$2+SUMIF($F$3:$F367,"Mobile Money",$D$3:$D367)-SUMIF($F$3:$F367,"Mobile Money",$E$3:$E367))</f>
        <v/>
      </c>
    </row>
    <row r="368" customFormat="false" ht="15" hidden="false" customHeight="false" outlineLevel="0" collapsed="false">
      <c r="A368" s="2"/>
      <c r="B368" s="4"/>
      <c r="C368" s="4"/>
      <c r="D368" s="5"/>
      <c r="E368" s="5"/>
      <c r="F368" s="4"/>
      <c r="G368" s="7" t="str">
        <f aca="false">IF(AND($D368="",$E368=""),"",$G$2+SUMIF($F$3:$F368,"Espèces",$D$3:$D368)-SUMIF($F$3:$F368,"Espèces",$E$3:$E368))</f>
        <v/>
      </c>
      <c r="H368" s="7" t="str">
        <f aca="false">IF(AND($D368="",$E368=""),"",$H$2+SUMIF($F$3:$F368,"Mobile Money",$D$3:$D368)-SUMIF($F$3:$F368,"Mobile Money",$E$3:$E368))</f>
        <v/>
      </c>
    </row>
    <row r="369" customFormat="false" ht="15" hidden="false" customHeight="false" outlineLevel="0" collapsed="false">
      <c r="A369" s="2"/>
      <c r="B369" s="4"/>
      <c r="C369" s="4"/>
      <c r="D369" s="5"/>
      <c r="E369" s="5"/>
      <c r="F369" s="4"/>
      <c r="G369" s="7" t="str">
        <f aca="false">IF(AND($D369="",$E369=""),"",$G$2+SUMIF($F$3:$F369,"Espèces",$D$3:$D369)-SUMIF($F$3:$F369,"Espèces",$E$3:$E369))</f>
        <v/>
      </c>
      <c r="H369" s="7" t="str">
        <f aca="false">IF(AND($D369="",$E369=""),"",$H$2+SUMIF($F$3:$F369,"Mobile Money",$D$3:$D369)-SUMIF($F$3:$F369,"Mobile Money",$E$3:$E369))</f>
        <v/>
      </c>
    </row>
    <row r="370" customFormat="false" ht="15" hidden="false" customHeight="false" outlineLevel="0" collapsed="false">
      <c r="A370" s="2"/>
      <c r="B370" s="4"/>
      <c r="C370" s="4"/>
      <c r="D370" s="5"/>
      <c r="E370" s="5"/>
      <c r="F370" s="4"/>
      <c r="G370" s="7" t="str">
        <f aca="false">IF(AND($D370="",$E370=""),"",$G$2+SUMIF($F$3:$F370,"Espèces",$D$3:$D370)-SUMIF($F$3:$F370,"Espèces",$E$3:$E370))</f>
        <v/>
      </c>
      <c r="H370" s="7" t="str">
        <f aca="false">IF(AND($D370="",$E370=""),"",$H$2+SUMIF($F$3:$F370,"Mobile Money",$D$3:$D370)-SUMIF($F$3:$F370,"Mobile Money",$E$3:$E370))</f>
        <v/>
      </c>
    </row>
    <row r="371" customFormat="false" ht="15" hidden="false" customHeight="false" outlineLevel="0" collapsed="false">
      <c r="A371" s="2"/>
      <c r="B371" s="4"/>
      <c r="C371" s="4"/>
      <c r="D371" s="5"/>
      <c r="E371" s="5"/>
      <c r="F371" s="4"/>
      <c r="G371" s="7" t="str">
        <f aca="false">IF(AND($D371="",$E371=""),"",$G$2+SUMIF($F$3:$F371,"Espèces",$D$3:$D371)-SUMIF($F$3:$F371,"Espèces",$E$3:$E371))</f>
        <v/>
      </c>
      <c r="H371" s="7" t="str">
        <f aca="false">IF(AND($D371="",$E371=""),"",$H$2+SUMIF($F$3:$F371,"Mobile Money",$D$3:$D371)-SUMIF($F$3:$F371,"Mobile Money",$E$3:$E371))</f>
        <v/>
      </c>
    </row>
    <row r="372" customFormat="false" ht="15" hidden="false" customHeight="false" outlineLevel="0" collapsed="false">
      <c r="A372" s="2"/>
      <c r="B372" s="4"/>
      <c r="C372" s="4"/>
      <c r="D372" s="5"/>
      <c r="E372" s="5"/>
      <c r="F372" s="4"/>
      <c r="G372" s="7" t="str">
        <f aca="false">IF(AND($D372="",$E372=""),"",$G$2+SUMIF($F$3:$F372,"Espèces",$D$3:$D372)-SUMIF($F$3:$F372,"Espèces",$E$3:$E372))</f>
        <v/>
      </c>
      <c r="H372" s="7" t="str">
        <f aca="false">IF(AND($D372="",$E372=""),"",$H$2+SUMIF($F$3:$F372,"Mobile Money",$D$3:$D372)-SUMIF($F$3:$F372,"Mobile Money",$E$3:$E372))</f>
        <v/>
      </c>
    </row>
    <row r="373" customFormat="false" ht="15" hidden="false" customHeight="false" outlineLevel="0" collapsed="false">
      <c r="A373" s="2"/>
      <c r="B373" s="4"/>
      <c r="C373" s="4"/>
      <c r="D373" s="5"/>
      <c r="E373" s="5"/>
      <c r="F373" s="4"/>
      <c r="G373" s="7" t="str">
        <f aca="false">IF(AND($D373="",$E373=""),"",$G$2+SUMIF($F$3:$F373,"Espèces",$D$3:$D373)-SUMIF($F$3:$F373,"Espèces",$E$3:$E373))</f>
        <v/>
      </c>
      <c r="H373" s="7" t="str">
        <f aca="false">IF(AND($D373="",$E373=""),"",$H$2+SUMIF($F$3:$F373,"Mobile Money",$D$3:$D373)-SUMIF($F$3:$F373,"Mobile Money",$E$3:$E373))</f>
        <v/>
      </c>
    </row>
    <row r="374" customFormat="false" ht="15" hidden="false" customHeight="false" outlineLevel="0" collapsed="false">
      <c r="A374" s="2"/>
      <c r="B374" s="4"/>
      <c r="C374" s="4"/>
      <c r="D374" s="5"/>
      <c r="E374" s="5"/>
      <c r="F374" s="4"/>
      <c r="G374" s="7" t="str">
        <f aca="false">IF(AND($D374="",$E374=""),"",$G$2+SUMIF($F$3:$F374,"Espèces",$D$3:$D374)-SUMIF($F$3:$F374,"Espèces",$E$3:$E374))</f>
        <v/>
      </c>
      <c r="H374" s="7" t="str">
        <f aca="false">IF(AND($D374="",$E374=""),"",$H$2+SUMIF($F$3:$F374,"Mobile Money",$D$3:$D374)-SUMIF($F$3:$F374,"Mobile Money",$E$3:$E374))</f>
        <v/>
      </c>
    </row>
    <row r="375" customFormat="false" ht="15" hidden="false" customHeight="false" outlineLevel="0" collapsed="false">
      <c r="A375" s="2"/>
      <c r="B375" s="4"/>
      <c r="C375" s="4"/>
      <c r="D375" s="5"/>
      <c r="E375" s="5"/>
      <c r="F375" s="4"/>
      <c r="G375" s="7" t="str">
        <f aca="false">IF(AND($D375="",$E375=""),"",$G$2+SUMIF($F$3:$F375,"Espèces",$D$3:$D375)-SUMIF($F$3:$F375,"Espèces",$E$3:$E375))</f>
        <v/>
      </c>
      <c r="H375" s="7" t="str">
        <f aca="false">IF(AND($D375="",$E375=""),"",$H$2+SUMIF($F$3:$F375,"Mobile Money",$D$3:$D375)-SUMIF($F$3:$F375,"Mobile Money",$E$3:$E375))</f>
        <v/>
      </c>
    </row>
    <row r="376" customFormat="false" ht="15" hidden="false" customHeight="false" outlineLevel="0" collapsed="false">
      <c r="A376" s="2"/>
      <c r="B376" s="4"/>
      <c r="C376" s="4"/>
      <c r="D376" s="5"/>
      <c r="E376" s="5"/>
      <c r="F376" s="4"/>
      <c r="G376" s="7" t="str">
        <f aca="false">IF(AND($D376="",$E376=""),"",$G$2+SUMIF($F$3:$F376,"Espèces",$D$3:$D376)-SUMIF($F$3:$F376,"Espèces",$E$3:$E376))</f>
        <v/>
      </c>
      <c r="H376" s="7" t="str">
        <f aca="false">IF(AND($D376="",$E376=""),"",$H$2+SUMIF($F$3:$F376,"Mobile Money",$D$3:$D376)-SUMIF($F$3:$F376,"Mobile Money",$E$3:$E376))</f>
        <v/>
      </c>
    </row>
    <row r="377" customFormat="false" ht="15" hidden="false" customHeight="false" outlineLevel="0" collapsed="false">
      <c r="A377" s="2"/>
      <c r="B377" s="4"/>
      <c r="C377" s="4"/>
      <c r="D377" s="5"/>
      <c r="E377" s="5"/>
      <c r="F377" s="4"/>
      <c r="G377" s="7" t="str">
        <f aca="false">IF(AND($D377="",$E377=""),"",$G$2+SUMIF($F$3:$F377,"Espèces",$D$3:$D377)-SUMIF($F$3:$F377,"Espèces",$E$3:$E377))</f>
        <v/>
      </c>
      <c r="H377" s="7" t="str">
        <f aca="false">IF(AND($D377="",$E377=""),"",$H$2+SUMIF($F$3:$F377,"Mobile Money",$D$3:$D377)-SUMIF($F$3:$F377,"Mobile Money",$E$3:$E377))</f>
        <v/>
      </c>
    </row>
    <row r="378" customFormat="false" ht="15" hidden="false" customHeight="false" outlineLevel="0" collapsed="false">
      <c r="A378" s="2"/>
      <c r="B378" s="4"/>
      <c r="C378" s="4"/>
      <c r="D378" s="5"/>
      <c r="E378" s="5"/>
      <c r="F378" s="4"/>
      <c r="G378" s="7" t="str">
        <f aca="false">IF(AND($D378="",$E378=""),"",$G$2+SUMIF($F$3:$F378,"Espèces",$D$3:$D378)-SUMIF($F$3:$F378,"Espèces",$E$3:$E378))</f>
        <v/>
      </c>
      <c r="H378" s="7" t="str">
        <f aca="false">IF(AND($D378="",$E378=""),"",$H$2+SUMIF($F$3:$F378,"Mobile Money",$D$3:$D378)-SUMIF($F$3:$F378,"Mobile Money",$E$3:$E378))</f>
        <v/>
      </c>
    </row>
    <row r="379" customFormat="false" ht="15" hidden="false" customHeight="false" outlineLevel="0" collapsed="false">
      <c r="A379" s="2"/>
      <c r="B379" s="4"/>
      <c r="C379" s="4"/>
      <c r="D379" s="5"/>
      <c r="E379" s="5"/>
      <c r="F379" s="4"/>
      <c r="G379" s="7" t="str">
        <f aca="false">IF(AND($D379="",$E379=""),"",$G$2+SUMIF($F$3:$F379,"Espèces",$D$3:$D379)-SUMIF($F$3:$F379,"Espèces",$E$3:$E379))</f>
        <v/>
      </c>
      <c r="H379" s="7" t="str">
        <f aca="false">IF(AND($D379="",$E379=""),"",$H$2+SUMIF($F$3:$F379,"Mobile Money",$D$3:$D379)-SUMIF($F$3:$F379,"Mobile Money",$E$3:$E379))</f>
        <v/>
      </c>
    </row>
    <row r="380" customFormat="false" ht="15" hidden="false" customHeight="false" outlineLevel="0" collapsed="false">
      <c r="A380" s="2"/>
      <c r="B380" s="4"/>
      <c r="C380" s="4"/>
      <c r="D380" s="5"/>
      <c r="E380" s="5"/>
      <c r="F380" s="4"/>
      <c r="G380" s="7" t="str">
        <f aca="false">IF(AND($D380="",$E380=""),"",$G$2+SUMIF($F$3:$F380,"Espèces",$D$3:$D380)-SUMIF($F$3:$F380,"Espèces",$E$3:$E380))</f>
        <v/>
      </c>
      <c r="H380" s="7" t="str">
        <f aca="false">IF(AND($D380="",$E380=""),"",$H$2+SUMIF($F$3:$F380,"Mobile Money",$D$3:$D380)-SUMIF($F$3:$F380,"Mobile Money",$E$3:$E380))</f>
        <v/>
      </c>
    </row>
    <row r="381" customFormat="false" ht="15" hidden="false" customHeight="false" outlineLevel="0" collapsed="false">
      <c r="A381" s="2"/>
      <c r="B381" s="4"/>
      <c r="C381" s="4"/>
      <c r="D381" s="5"/>
      <c r="E381" s="5"/>
      <c r="F381" s="4"/>
      <c r="G381" s="7" t="str">
        <f aca="false">IF(AND($D381="",$E381=""),"",$G$2+SUMIF($F$3:$F381,"Espèces",$D$3:$D381)-SUMIF($F$3:$F381,"Espèces",$E$3:$E381))</f>
        <v/>
      </c>
      <c r="H381" s="7" t="str">
        <f aca="false">IF(AND($D381="",$E381=""),"",$H$2+SUMIF($F$3:$F381,"Mobile Money",$D$3:$D381)-SUMIF($F$3:$F381,"Mobile Money",$E$3:$E381))</f>
        <v/>
      </c>
    </row>
    <row r="382" customFormat="false" ht="15" hidden="false" customHeight="false" outlineLevel="0" collapsed="false">
      <c r="A382" s="2"/>
      <c r="B382" s="4"/>
      <c r="C382" s="4"/>
      <c r="D382" s="5"/>
      <c r="E382" s="5"/>
      <c r="F382" s="4"/>
      <c r="G382" s="7" t="str">
        <f aca="false">IF(AND($D382="",$E382=""),"",$G$2+SUMIF($F$3:$F382,"Espèces",$D$3:$D382)-SUMIF($F$3:$F382,"Espèces",$E$3:$E382))</f>
        <v/>
      </c>
      <c r="H382" s="7" t="str">
        <f aca="false">IF(AND($D382="",$E382=""),"",$H$2+SUMIF($F$3:$F382,"Mobile Money",$D$3:$D382)-SUMIF($F$3:$F382,"Mobile Money",$E$3:$E382))</f>
        <v/>
      </c>
    </row>
    <row r="383" customFormat="false" ht="15" hidden="false" customHeight="false" outlineLevel="0" collapsed="false">
      <c r="A383" s="2"/>
      <c r="B383" s="4"/>
      <c r="C383" s="4"/>
      <c r="D383" s="5"/>
      <c r="E383" s="5"/>
      <c r="F383" s="4"/>
      <c r="G383" s="7" t="str">
        <f aca="false">IF(AND($D383="",$E383=""),"",$G$2+SUMIF($F$3:$F383,"Espèces",$D$3:$D383)-SUMIF($F$3:$F383,"Espèces",$E$3:$E383))</f>
        <v/>
      </c>
      <c r="H383" s="7" t="str">
        <f aca="false">IF(AND($D383="",$E383=""),"",$H$2+SUMIF($F$3:$F383,"Mobile Money",$D$3:$D383)-SUMIF($F$3:$F383,"Mobile Money",$E$3:$E383))</f>
        <v/>
      </c>
    </row>
    <row r="384" customFormat="false" ht="15" hidden="false" customHeight="false" outlineLevel="0" collapsed="false">
      <c r="A384" s="2"/>
      <c r="B384" s="4"/>
      <c r="C384" s="4"/>
      <c r="D384" s="5"/>
      <c r="E384" s="5"/>
      <c r="F384" s="4"/>
      <c r="G384" s="7" t="str">
        <f aca="false">IF(AND($D384="",$E384=""),"",$G$2+SUMIF($F$3:$F384,"Espèces",$D$3:$D384)-SUMIF($F$3:$F384,"Espèces",$E$3:$E384))</f>
        <v/>
      </c>
      <c r="H384" s="7" t="str">
        <f aca="false">IF(AND($D384="",$E384=""),"",$H$2+SUMIF($F$3:$F384,"Mobile Money",$D$3:$D384)-SUMIF($F$3:$F384,"Mobile Money",$E$3:$E384))</f>
        <v/>
      </c>
    </row>
    <row r="385" customFormat="false" ht="15" hidden="false" customHeight="false" outlineLevel="0" collapsed="false">
      <c r="A385" s="2"/>
      <c r="B385" s="4"/>
      <c r="C385" s="4"/>
      <c r="D385" s="5"/>
      <c r="E385" s="5"/>
      <c r="F385" s="4"/>
      <c r="G385" s="7" t="str">
        <f aca="false">IF(AND($D385="",$E385=""),"",$G$2+SUMIF($F$3:$F385,"Espèces",$D$3:$D385)-SUMIF($F$3:$F385,"Espèces",$E$3:$E385))</f>
        <v/>
      </c>
      <c r="H385" s="7" t="str">
        <f aca="false">IF(AND($D385="",$E385=""),"",$H$2+SUMIF($F$3:$F385,"Mobile Money",$D$3:$D385)-SUMIF($F$3:$F385,"Mobile Money",$E$3:$E385))</f>
        <v/>
      </c>
    </row>
    <row r="386" customFormat="false" ht="15" hidden="false" customHeight="false" outlineLevel="0" collapsed="false">
      <c r="A386" s="2"/>
      <c r="B386" s="4"/>
      <c r="C386" s="4"/>
      <c r="D386" s="5"/>
      <c r="E386" s="5"/>
      <c r="F386" s="4"/>
      <c r="G386" s="7" t="str">
        <f aca="false">IF(AND($D386="",$E386=""),"",$G$2+SUMIF($F$3:$F386,"Espèces",$D$3:$D386)-SUMIF($F$3:$F386,"Espèces",$E$3:$E386))</f>
        <v/>
      </c>
      <c r="H386" s="7" t="str">
        <f aca="false">IF(AND($D386="",$E386=""),"",$H$2+SUMIF($F$3:$F386,"Mobile Money",$D$3:$D386)-SUMIF($F$3:$F386,"Mobile Money",$E$3:$E386))</f>
        <v/>
      </c>
    </row>
    <row r="387" customFormat="false" ht="15" hidden="false" customHeight="false" outlineLevel="0" collapsed="false">
      <c r="A387" s="2"/>
      <c r="B387" s="4"/>
      <c r="C387" s="4"/>
      <c r="D387" s="5"/>
      <c r="E387" s="5"/>
      <c r="F387" s="4"/>
      <c r="G387" s="7" t="str">
        <f aca="false">IF(AND($D387="",$E387=""),"",$G$2+SUMIF($F$3:$F387,"Espèces",$D$3:$D387)-SUMIF($F$3:$F387,"Espèces",$E$3:$E387))</f>
        <v/>
      </c>
      <c r="H387" s="7" t="str">
        <f aca="false">IF(AND($D387="",$E387=""),"",$H$2+SUMIF($F$3:$F387,"Mobile Money",$D$3:$D387)-SUMIF($F$3:$F387,"Mobile Money",$E$3:$E387))</f>
        <v/>
      </c>
    </row>
    <row r="388" customFormat="false" ht="15" hidden="false" customHeight="false" outlineLevel="0" collapsed="false">
      <c r="A388" s="2"/>
      <c r="B388" s="4"/>
      <c r="C388" s="4"/>
      <c r="D388" s="5"/>
      <c r="E388" s="5"/>
      <c r="F388" s="4"/>
      <c r="G388" s="7" t="str">
        <f aca="false">IF(AND($D388="",$E388=""),"",$G$2+SUMIF($F$3:$F388,"Espèces",$D$3:$D388)-SUMIF($F$3:$F388,"Espèces",$E$3:$E388))</f>
        <v/>
      </c>
      <c r="H388" s="7" t="str">
        <f aca="false">IF(AND($D388="",$E388=""),"",$H$2+SUMIF($F$3:$F388,"Mobile Money",$D$3:$D388)-SUMIF($F$3:$F388,"Mobile Money",$E$3:$E388))</f>
        <v/>
      </c>
    </row>
    <row r="389" customFormat="false" ht="15" hidden="false" customHeight="false" outlineLevel="0" collapsed="false">
      <c r="A389" s="2"/>
      <c r="B389" s="4"/>
      <c r="C389" s="4"/>
      <c r="D389" s="5"/>
      <c r="E389" s="5"/>
      <c r="F389" s="4"/>
      <c r="G389" s="7" t="str">
        <f aca="false">IF(AND($D389="",$E389=""),"",$G$2+SUMIF($F$3:$F389,"Espèces",$D$3:$D389)-SUMIF($F$3:$F389,"Espèces",$E$3:$E389))</f>
        <v/>
      </c>
      <c r="H389" s="7" t="str">
        <f aca="false">IF(AND($D389="",$E389=""),"",$H$2+SUMIF($F$3:$F389,"Mobile Money",$D$3:$D389)-SUMIF($F$3:$F389,"Mobile Money",$E$3:$E389))</f>
        <v/>
      </c>
    </row>
    <row r="390" customFormat="false" ht="15" hidden="false" customHeight="false" outlineLevel="0" collapsed="false">
      <c r="A390" s="2"/>
      <c r="B390" s="4"/>
      <c r="C390" s="4"/>
      <c r="D390" s="5"/>
      <c r="E390" s="5"/>
      <c r="F390" s="4"/>
      <c r="G390" s="7" t="str">
        <f aca="false">IF(AND($D390="",$E390=""),"",$G$2+SUMIF($F$3:$F390,"Espèces",$D$3:$D390)-SUMIF($F$3:$F390,"Espèces",$E$3:$E390))</f>
        <v/>
      </c>
      <c r="H390" s="7" t="str">
        <f aca="false">IF(AND($D390="",$E390=""),"",$H$2+SUMIF($F$3:$F390,"Mobile Money",$D$3:$D390)-SUMIF($F$3:$F390,"Mobile Money",$E$3:$E390))</f>
        <v/>
      </c>
    </row>
    <row r="391" customFormat="false" ht="15" hidden="false" customHeight="false" outlineLevel="0" collapsed="false">
      <c r="A391" s="2"/>
      <c r="B391" s="4"/>
      <c r="C391" s="4"/>
      <c r="D391" s="5"/>
      <c r="E391" s="5"/>
      <c r="F391" s="4"/>
      <c r="G391" s="7" t="str">
        <f aca="false">IF(AND($D391="",$E391=""),"",$G$2+SUMIF($F$3:$F391,"Espèces",$D$3:$D391)-SUMIF($F$3:$F391,"Espèces",$E$3:$E391))</f>
        <v/>
      </c>
      <c r="H391" s="7" t="str">
        <f aca="false">IF(AND($D391="",$E391=""),"",$H$2+SUMIF($F$3:$F391,"Mobile Money",$D$3:$D391)-SUMIF($F$3:$F391,"Mobile Money",$E$3:$E391))</f>
        <v/>
      </c>
    </row>
    <row r="392" customFormat="false" ht="15" hidden="false" customHeight="false" outlineLevel="0" collapsed="false">
      <c r="A392" s="2"/>
      <c r="B392" s="4"/>
      <c r="C392" s="4"/>
      <c r="D392" s="5"/>
      <c r="E392" s="5"/>
      <c r="F392" s="4"/>
      <c r="G392" s="7" t="str">
        <f aca="false">IF(AND($D392="",$E392=""),"",$G$2+SUMIF($F$3:$F392,"Espèces",$D$3:$D392)-SUMIF($F$3:$F392,"Espèces",$E$3:$E392))</f>
        <v/>
      </c>
      <c r="H392" s="7" t="str">
        <f aca="false">IF(AND($D392="",$E392=""),"",$H$2+SUMIF($F$3:$F392,"Mobile Money",$D$3:$D392)-SUMIF($F$3:$F392,"Mobile Money",$E$3:$E392))</f>
        <v/>
      </c>
    </row>
    <row r="393" customFormat="false" ht="15" hidden="false" customHeight="false" outlineLevel="0" collapsed="false">
      <c r="A393" s="2"/>
      <c r="B393" s="4"/>
      <c r="C393" s="4"/>
      <c r="D393" s="5"/>
      <c r="E393" s="5"/>
      <c r="F393" s="4"/>
      <c r="G393" s="7" t="str">
        <f aca="false">IF(AND($D393="",$E393=""),"",$G$2+SUMIF($F$3:$F393,"Espèces",$D$3:$D393)-SUMIF($F$3:$F393,"Espèces",$E$3:$E393))</f>
        <v/>
      </c>
      <c r="H393" s="7" t="str">
        <f aca="false">IF(AND($D393="",$E393=""),"",$H$2+SUMIF($F$3:$F393,"Mobile Money",$D$3:$D393)-SUMIF($F$3:$F393,"Mobile Money",$E$3:$E393))</f>
        <v/>
      </c>
    </row>
    <row r="394" customFormat="false" ht="15" hidden="false" customHeight="false" outlineLevel="0" collapsed="false">
      <c r="A394" s="2"/>
      <c r="B394" s="4"/>
      <c r="C394" s="4"/>
      <c r="D394" s="5"/>
      <c r="E394" s="5"/>
      <c r="F394" s="4"/>
      <c r="G394" s="7" t="str">
        <f aca="false">IF(AND($D394="",$E394=""),"",$G$2+SUMIF($F$3:$F394,"Espèces",$D$3:$D394)-SUMIF($F$3:$F394,"Espèces",$E$3:$E394))</f>
        <v/>
      </c>
      <c r="H394" s="7" t="str">
        <f aca="false">IF(AND($D394="",$E394=""),"",$H$2+SUMIF($F$3:$F394,"Mobile Money",$D$3:$D394)-SUMIF($F$3:$F394,"Mobile Money",$E$3:$E394))</f>
        <v/>
      </c>
    </row>
    <row r="395" customFormat="false" ht="15" hidden="false" customHeight="false" outlineLevel="0" collapsed="false">
      <c r="A395" s="2"/>
      <c r="B395" s="4"/>
      <c r="C395" s="4"/>
      <c r="D395" s="5"/>
      <c r="E395" s="5"/>
      <c r="F395" s="4"/>
      <c r="G395" s="7" t="str">
        <f aca="false">IF(AND($D395="",$E395=""),"",$G$2+SUMIF($F$3:$F395,"Espèces",$D$3:$D395)-SUMIF($F$3:$F395,"Espèces",$E$3:$E395))</f>
        <v/>
      </c>
      <c r="H395" s="7" t="str">
        <f aca="false">IF(AND($D395="",$E395=""),"",$H$2+SUMIF($F$3:$F395,"Mobile Money",$D$3:$D395)-SUMIF($F$3:$F395,"Mobile Money",$E$3:$E395))</f>
        <v/>
      </c>
    </row>
    <row r="396" customFormat="false" ht="15" hidden="false" customHeight="false" outlineLevel="0" collapsed="false">
      <c r="A396" s="2"/>
      <c r="B396" s="4"/>
      <c r="C396" s="4"/>
      <c r="D396" s="5"/>
      <c r="E396" s="5"/>
      <c r="F396" s="4"/>
      <c r="G396" s="7" t="str">
        <f aca="false">IF(AND($D396="",$E396=""),"",$G$2+SUMIF($F$3:$F396,"Espèces",$D$3:$D396)-SUMIF($F$3:$F396,"Espèces",$E$3:$E396))</f>
        <v/>
      </c>
      <c r="H396" s="7" t="str">
        <f aca="false">IF(AND($D396="",$E396=""),"",$H$2+SUMIF($F$3:$F396,"Mobile Money",$D$3:$D396)-SUMIF($F$3:$F396,"Mobile Money",$E$3:$E396))</f>
        <v/>
      </c>
    </row>
    <row r="397" customFormat="false" ht="15" hidden="false" customHeight="false" outlineLevel="0" collapsed="false">
      <c r="A397" s="2"/>
      <c r="B397" s="4"/>
      <c r="C397" s="4"/>
      <c r="D397" s="5"/>
      <c r="E397" s="5"/>
      <c r="F397" s="4"/>
      <c r="G397" s="7" t="str">
        <f aca="false">IF(AND($D397="",$E397=""),"",$G$2+SUMIF($F$3:$F397,"Espèces",$D$3:$D397)-SUMIF($F$3:$F397,"Espèces",$E$3:$E397))</f>
        <v/>
      </c>
      <c r="H397" s="7" t="str">
        <f aca="false">IF(AND($D397="",$E397=""),"",$H$2+SUMIF($F$3:$F397,"Mobile Money",$D$3:$D397)-SUMIF($F$3:$F397,"Mobile Money",$E$3:$E397))</f>
        <v/>
      </c>
    </row>
    <row r="398" customFormat="false" ht="15" hidden="false" customHeight="false" outlineLevel="0" collapsed="false">
      <c r="A398" s="2"/>
      <c r="B398" s="4"/>
      <c r="C398" s="4"/>
      <c r="D398" s="5"/>
      <c r="E398" s="5"/>
      <c r="F398" s="4"/>
      <c r="G398" s="7" t="str">
        <f aca="false">IF(AND($D398="",$E398=""),"",$G$2+SUMIF($F$3:$F398,"Espèces",$D$3:$D398)-SUMIF($F$3:$F398,"Espèces",$E$3:$E398))</f>
        <v/>
      </c>
      <c r="H398" s="7" t="str">
        <f aca="false">IF(AND($D398="",$E398=""),"",$H$2+SUMIF($F$3:$F398,"Mobile Money",$D$3:$D398)-SUMIF($F$3:$F398,"Mobile Money",$E$3:$E398))</f>
        <v/>
      </c>
    </row>
    <row r="399" customFormat="false" ht="15" hidden="false" customHeight="false" outlineLevel="0" collapsed="false">
      <c r="A399" s="2"/>
      <c r="B399" s="4"/>
      <c r="C399" s="4"/>
      <c r="D399" s="5"/>
      <c r="E399" s="5"/>
      <c r="F399" s="4"/>
      <c r="G399" s="7" t="str">
        <f aca="false">IF(AND($D399="",$E399=""),"",$G$2+SUMIF($F$3:$F399,"Espèces",$D$3:$D399)-SUMIF($F$3:$F399,"Espèces",$E$3:$E399))</f>
        <v/>
      </c>
      <c r="H399" s="7" t="str">
        <f aca="false">IF(AND($D399="",$E399=""),"",$H$2+SUMIF($F$3:$F399,"Mobile Money",$D$3:$D399)-SUMIF($F$3:$F399,"Mobile Money",$E$3:$E399))</f>
        <v/>
      </c>
    </row>
    <row r="400" customFormat="false" ht="15" hidden="false" customHeight="false" outlineLevel="0" collapsed="false">
      <c r="A400" s="2"/>
      <c r="B400" s="4"/>
      <c r="C400" s="4"/>
      <c r="D400" s="5"/>
      <c r="E400" s="5"/>
      <c r="F400" s="4"/>
      <c r="G400" s="7" t="str">
        <f aca="false">IF(AND($D400="",$E400=""),"",$G$2+SUMIF($F$3:$F400,"Espèces",$D$3:$D400)-SUMIF($F$3:$F400,"Espèces",$E$3:$E400))</f>
        <v/>
      </c>
      <c r="H400" s="7" t="str">
        <f aca="false">IF(AND($D400="",$E400=""),"",$H$2+SUMIF($F$3:$F400,"Mobile Money",$D$3:$D400)-SUMIF($F$3:$F400,"Mobile Money",$E$3:$E400))</f>
        <v/>
      </c>
    </row>
    <row r="401" customFormat="false" ht="15" hidden="false" customHeight="false" outlineLevel="0" collapsed="false">
      <c r="A401" s="2"/>
      <c r="B401" s="4"/>
      <c r="C401" s="4"/>
      <c r="D401" s="5"/>
      <c r="E401" s="5"/>
      <c r="F401" s="4"/>
      <c r="G401" s="7" t="str">
        <f aca="false">IF(AND($D401="",$E401=""),"",$G$2+SUMIF($F$3:$F401,"Espèces",$D$3:$D401)-SUMIF($F$3:$F401,"Espèces",$E$3:$E401))</f>
        <v/>
      </c>
      <c r="H401" s="7" t="str">
        <f aca="false">IF(AND($D401="",$E401=""),"",$H$2+SUMIF($F$3:$F401,"Mobile Money",$D$3:$D401)-SUMIF($F$3:$F401,"Mobile Money",$E$3:$E401))</f>
        <v/>
      </c>
    </row>
    <row r="402" customFormat="false" ht="15" hidden="false" customHeight="false" outlineLevel="0" collapsed="false">
      <c r="A402" s="2"/>
      <c r="B402" s="4"/>
      <c r="C402" s="4"/>
      <c r="D402" s="5"/>
      <c r="E402" s="5"/>
      <c r="F402" s="4"/>
      <c r="G402" s="7" t="str">
        <f aca="false">IF(AND($D402="",$E402=""),"",$G$2+SUMIF($F$3:$F402,"Espèces",$D$3:$D402)-SUMIF($F$3:$F402,"Espèces",$E$3:$E402))</f>
        <v/>
      </c>
      <c r="H402" s="7" t="str">
        <f aca="false">IF(AND($D402="",$E402=""),"",$H$2+SUMIF($F$3:$F402,"Mobile Money",$D$3:$D402)-SUMIF($F$3:$F402,"Mobile Money",$E$3:$E402))</f>
        <v/>
      </c>
    </row>
    <row r="403" customFormat="false" ht="15" hidden="false" customHeight="false" outlineLevel="0" collapsed="false">
      <c r="A403" s="2"/>
      <c r="B403" s="4"/>
      <c r="C403" s="4"/>
      <c r="D403" s="5"/>
      <c r="E403" s="5"/>
      <c r="F403" s="4"/>
      <c r="G403" s="7" t="str">
        <f aca="false">IF(AND($D403="",$E403=""),"",$G$2+SUMIF($F$3:$F403,"Espèces",$D$3:$D403)-SUMIF($F$3:$F403,"Espèces",$E$3:$E403))</f>
        <v/>
      </c>
      <c r="H403" s="7" t="str">
        <f aca="false">IF(AND($D403="",$E403=""),"",$H$2+SUMIF($F$3:$F403,"Mobile Money",$D$3:$D403)-SUMIF($F$3:$F403,"Mobile Money",$E$3:$E403))</f>
        <v/>
      </c>
    </row>
    <row r="404" customFormat="false" ht="15" hidden="false" customHeight="false" outlineLevel="0" collapsed="false">
      <c r="A404" s="2"/>
      <c r="B404" s="4"/>
      <c r="C404" s="4"/>
      <c r="D404" s="5"/>
      <c r="E404" s="5"/>
      <c r="F404" s="4"/>
      <c r="G404" s="7" t="str">
        <f aca="false">IF(AND($D404="",$E404=""),"",$G$2+SUMIF($F$3:$F404,"Espèces",$D$3:$D404)-SUMIF($F$3:$F404,"Espèces",$E$3:$E404))</f>
        <v/>
      </c>
      <c r="H404" s="7" t="str">
        <f aca="false">IF(AND($D404="",$E404=""),"",$H$2+SUMIF($F$3:$F404,"Mobile Money",$D$3:$D404)-SUMIF($F$3:$F404,"Mobile Money",$E$3:$E404))</f>
        <v/>
      </c>
    </row>
    <row r="405" customFormat="false" ht="15" hidden="false" customHeight="false" outlineLevel="0" collapsed="false">
      <c r="A405" s="2"/>
      <c r="B405" s="4"/>
      <c r="C405" s="4"/>
      <c r="D405" s="5"/>
      <c r="E405" s="5"/>
      <c r="F405" s="4"/>
      <c r="G405" s="7" t="str">
        <f aca="false">IF(AND($D405="",$E405=""),"",$G$2+SUMIF($F$3:$F405,"Espèces",$D$3:$D405)-SUMIF($F$3:$F405,"Espèces",$E$3:$E405))</f>
        <v/>
      </c>
      <c r="H405" s="7" t="str">
        <f aca="false">IF(AND($D405="",$E405=""),"",$H$2+SUMIF($F$3:$F405,"Mobile Money",$D$3:$D405)-SUMIF($F$3:$F405,"Mobile Money",$E$3:$E405))</f>
        <v/>
      </c>
    </row>
    <row r="406" customFormat="false" ht="15" hidden="false" customHeight="false" outlineLevel="0" collapsed="false">
      <c r="A406" s="2"/>
      <c r="B406" s="4"/>
      <c r="C406" s="4"/>
      <c r="D406" s="5"/>
      <c r="E406" s="5"/>
      <c r="F406" s="4"/>
      <c r="G406" s="7" t="str">
        <f aca="false">IF(AND($D406="",$E406=""),"",$G$2+SUMIF($F$3:$F406,"Espèces",$D$3:$D406)-SUMIF($F$3:$F406,"Espèces",$E$3:$E406))</f>
        <v/>
      </c>
      <c r="H406" s="7" t="str">
        <f aca="false">IF(AND($D406="",$E406=""),"",$H$2+SUMIF($F$3:$F406,"Mobile Money",$D$3:$D406)-SUMIF($F$3:$F406,"Mobile Money",$E$3:$E406))</f>
        <v/>
      </c>
    </row>
    <row r="407" customFormat="false" ht="15" hidden="false" customHeight="false" outlineLevel="0" collapsed="false">
      <c r="A407" s="2"/>
      <c r="B407" s="4"/>
      <c r="C407" s="4"/>
      <c r="D407" s="5"/>
      <c r="E407" s="5"/>
      <c r="F407" s="4"/>
      <c r="G407" s="7" t="str">
        <f aca="false">IF(AND($D407="",$E407=""),"",$G$2+SUMIF($F$3:$F407,"Espèces",$D$3:$D407)-SUMIF($F$3:$F407,"Espèces",$E$3:$E407))</f>
        <v/>
      </c>
      <c r="H407" s="7" t="str">
        <f aca="false">IF(AND($D407="",$E407=""),"",$H$2+SUMIF($F$3:$F407,"Mobile Money",$D$3:$D407)-SUMIF($F$3:$F407,"Mobile Money",$E$3:$E407))</f>
        <v/>
      </c>
    </row>
    <row r="408" customFormat="false" ht="15" hidden="false" customHeight="false" outlineLevel="0" collapsed="false">
      <c r="A408" s="2"/>
      <c r="B408" s="4"/>
      <c r="C408" s="4"/>
      <c r="D408" s="5"/>
      <c r="E408" s="5"/>
      <c r="F408" s="4"/>
      <c r="G408" s="7" t="str">
        <f aca="false">IF(AND($D408="",$E408=""),"",$G$2+SUMIF($F$3:$F408,"Espèces",$D$3:$D408)-SUMIF($F$3:$F408,"Espèces",$E$3:$E408))</f>
        <v/>
      </c>
      <c r="H408" s="7" t="str">
        <f aca="false">IF(AND($D408="",$E408=""),"",$H$2+SUMIF($F$3:$F408,"Mobile Money",$D$3:$D408)-SUMIF($F$3:$F408,"Mobile Money",$E$3:$E408))</f>
        <v/>
      </c>
    </row>
    <row r="409" customFormat="false" ht="15" hidden="false" customHeight="false" outlineLevel="0" collapsed="false">
      <c r="A409" s="2"/>
      <c r="B409" s="4"/>
      <c r="C409" s="4"/>
      <c r="D409" s="5"/>
      <c r="E409" s="5"/>
      <c r="F409" s="4"/>
      <c r="G409" s="7" t="str">
        <f aca="false">IF(AND($D409="",$E409=""),"",$G$2+SUMIF($F$3:$F409,"Espèces",$D$3:$D409)-SUMIF($F$3:$F409,"Espèces",$E$3:$E409))</f>
        <v/>
      </c>
      <c r="H409" s="7" t="str">
        <f aca="false">IF(AND($D409="",$E409=""),"",$H$2+SUMIF($F$3:$F409,"Mobile Money",$D$3:$D409)-SUMIF($F$3:$F409,"Mobile Money",$E$3:$E409))</f>
        <v/>
      </c>
    </row>
    <row r="410" customFormat="false" ht="15" hidden="false" customHeight="false" outlineLevel="0" collapsed="false">
      <c r="A410" s="2"/>
      <c r="B410" s="4"/>
      <c r="C410" s="4"/>
      <c r="D410" s="5"/>
      <c r="E410" s="5"/>
      <c r="F410" s="4"/>
      <c r="G410" s="7" t="str">
        <f aca="false">IF(AND($D410="",$E410=""),"",$G$2+SUMIF($F$3:$F410,"Espèces",$D$3:$D410)-SUMIF($F$3:$F410,"Espèces",$E$3:$E410))</f>
        <v/>
      </c>
      <c r="H410" s="7" t="str">
        <f aca="false">IF(AND($D410="",$E410=""),"",$H$2+SUMIF($F$3:$F410,"Mobile Money",$D$3:$D410)-SUMIF($F$3:$F410,"Mobile Money",$E$3:$E410))</f>
        <v/>
      </c>
    </row>
    <row r="411" customFormat="false" ht="15" hidden="false" customHeight="false" outlineLevel="0" collapsed="false">
      <c r="A411" s="2"/>
      <c r="B411" s="4"/>
      <c r="C411" s="4"/>
      <c r="D411" s="5"/>
      <c r="E411" s="5"/>
      <c r="F411" s="4"/>
      <c r="G411" s="7" t="str">
        <f aca="false">IF(AND($D411="",$E411=""),"",$G$2+SUMIF($F$3:$F411,"Espèces",$D$3:$D411)-SUMIF($F$3:$F411,"Espèces",$E$3:$E411))</f>
        <v/>
      </c>
      <c r="H411" s="7" t="str">
        <f aca="false">IF(AND($D411="",$E411=""),"",$H$2+SUMIF($F$3:$F411,"Mobile Money",$D$3:$D411)-SUMIF($F$3:$F411,"Mobile Money",$E$3:$E411))</f>
        <v/>
      </c>
    </row>
    <row r="412" customFormat="false" ht="15" hidden="false" customHeight="false" outlineLevel="0" collapsed="false">
      <c r="A412" s="2"/>
      <c r="B412" s="4"/>
      <c r="C412" s="4"/>
      <c r="D412" s="5"/>
      <c r="E412" s="5"/>
      <c r="F412" s="4"/>
      <c r="G412" s="7" t="str">
        <f aca="false">IF(AND($D412="",$E412=""),"",$G$2+SUMIF($F$3:$F412,"Espèces",$D$3:$D412)-SUMIF($F$3:$F412,"Espèces",$E$3:$E412))</f>
        <v/>
      </c>
      <c r="H412" s="7" t="str">
        <f aca="false">IF(AND($D412="",$E412=""),"",$H$2+SUMIF($F$3:$F412,"Mobile Money",$D$3:$D412)-SUMIF($F$3:$F412,"Mobile Money",$E$3:$E412))</f>
        <v/>
      </c>
    </row>
    <row r="413" customFormat="false" ht="15" hidden="false" customHeight="false" outlineLevel="0" collapsed="false">
      <c r="A413" s="2"/>
      <c r="B413" s="4"/>
      <c r="C413" s="4"/>
      <c r="D413" s="5"/>
      <c r="E413" s="5"/>
      <c r="F413" s="4"/>
      <c r="G413" s="7" t="str">
        <f aca="false">IF(AND($D413="",$E413=""),"",$G$2+SUMIF($F$3:$F413,"Espèces",$D$3:$D413)-SUMIF($F$3:$F413,"Espèces",$E$3:$E413))</f>
        <v/>
      </c>
      <c r="H413" s="7" t="str">
        <f aca="false">IF(AND($D413="",$E413=""),"",$H$2+SUMIF($F$3:$F413,"Mobile Money",$D$3:$D413)-SUMIF($F$3:$F413,"Mobile Money",$E$3:$E413))</f>
        <v/>
      </c>
    </row>
    <row r="414" customFormat="false" ht="15" hidden="false" customHeight="false" outlineLevel="0" collapsed="false">
      <c r="A414" s="2"/>
      <c r="B414" s="4"/>
      <c r="C414" s="4"/>
      <c r="D414" s="5"/>
      <c r="E414" s="5"/>
      <c r="F414" s="4"/>
      <c r="G414" s="7" t="str">
        <f aca="false">IF(AND($D414="",$E414=""),"",$G$2+SUMIF($F$3:$F414,"Espèces",$D$3:$D414)-SUMIF($F$3:$F414,"Espèces",$E$3:$E414))</f>
        <v/>
      </c>
      <c r="H414" s="7" t="str">
        <f aca="false">IF(AND($D414="",$E414=""),"",$H$2+SUMIF($F$3:$F414,"Mobile Money",$D$3:$D414)-SUMIF($F$3:$F414,"Mobile Money",$E$3:$E414))</f>
        <v/>
      </c>
    </row>
    <row r="415" customFormat="false" ht="15" hidden="false" customHeight="false" outlineLevel="0" collapsed="false">
      <c r="A415" s="2"/>
      <c r="B415" s="4"/>
      <c r="C415" s="4"/>
      <c r="D415" s="5"/>
      <c r="E415" s="5"/>
      <c r="F415" s="4"/>
      <c r="G415" s="7" t="str">
        <f aca="false">IF(AND($D415="",$E415=""),"",$G$2+SUMIF($F$3:$F415,"Espèces",$D$3:$D415)-SUMIF($F$3:$F415,"Espèces",$E$3:$E415))</f>
        <v/>
      </c>
      <c r="H415" s="7" t="str">
        <f aca="false">IF(AND($D415="",$E415=""),"",$H$2+SUMIF($F$3:$F415,"Mobile Money",$D$3:$D415)-SUMIF($F$3:$F415,"Mobile Money",$E$3:$E415))</f>
        <v/>
      </c>
    </row>
    <row r="416" customFormat="false" ht="15" hidden="false" customHeight="false" outlineLevel="0" collapsed="false">
      <c r="A416" s="2"/>
      <c r="B416" s="4"/>
      <c r="C416" s="4"/>
      <c r="D416" s="5"/>
      <c r="E416" s="5"/>
      <c r="F416" s="4"/>
      <c r="G416" s="7" t="str">
        <f aca="false">IF(AND($D416="",$E416=""),"",$G$2+SUMIF($F$3:$F416,"Espèces",$D$3:$D416)-SUMIF($F$3:$F416,"Espèces",$E$3:$E416))</f>
        <v/>
      </c>
      <c r="H416" s="7" t="str">
        <f aca="false">IF(AND($D416="",$E416=""),"",$H$2+SUMIF($F$3:$F416,"Mobile Money",$D$3:$D416)-SUMIF($F$3:$F416,"Mobile Money",$E$3:$E416))</f>
        <v/>
      </c>
    </row>
    <row r="417" customFormat="false" ht="15" hidden="false" customHeight="false" outlineLevel="0" collapsed="false">
      <c r="A417" s="2"/>
      <c r="B417" s="4"/>
      <c r="C417" s="4"/>
      <c r="D417" s="5"/>
      <c r="E417" s="5"/>
      <c r="F417" s="4"/>
      <c r="G417" s="7" t="str">
        <f aca="false">IF(AND($D417="",$E417=""),"",$G$2+SUMIF($F$3:$F417,"Espèces",$D$3:$D417)-SUMIF($F$3:$F417,"Espèces",$E$3:$E417))</f>
        <v/>
      </c>
      <c r="H417" s="7" t="str">
        <f aca="false">IF(AND($D417="",$E417=""),"",$H$2+SUMIF($F$3:$F417,"Mobile Money",$D$3:$D417)-SUMIF($F$3:$F417,"Mobile Money",$E$3:$E417))</f>
        <v/>
      </c>
    </row>
    <row r="418" customFormat="false" ht="15" hidden="false" customHeight="false" outlineLevel="0" collapsed="false">
      <c r="A418" s="2"/>
      <c r="B418" s="4"/>
      <c r="C418" s="4"/>
      <c r="D418" s="5"/>
      <c r="E418" s="5"/>
      <c r="F418" s="4"/>
      <c r="G418" s="7" t="str">
        <f aca="false">IF(AND($D418="",$E418=""),"",$G$2+SUMIF($F$3:$F418,"Espèces",$D$3:$D418)-SUMIF($F$3:$F418,"Espèces",$E$3:$E418))</f>
        <v/>
      </c>
      <c r="H418" s="7" t="str">
        <f aca="false">IF(AND($D418="",$E418=""),"",$H$2+SUMIF($F$3:$F418,"Mobile Money",$D$3:$D418)-SUMIF($F$3:$F418,"Mobile Money",$E$3:$E418))</f>
        <v/>
      </c>
    </row>
    <row r="419" customFormat="false" ht="15" hidden="false" customHeight="false" outlineLevel="0" collapsed="false">
      <c r="A419" s="2"/>
      <c r="B419" s="4"/>
      <c r="C419" s="4"/>
      <c r="D419" s="5"/>
      <c r="E419" s="5"/>
      <c r="F419" s="4"/>
      <c r="G419" s="7" t="str">
        <f aca="false">IF(AND($D419="",$E419=""),"",$G$2+SUMIF($F$3:$F419,"Espèces",$D$3:$D419)-SUMIF($F$3:$F419,"Espèces",$E$3:$E419))</f>
        <v/>
      </c>
      <c r="H419" s="7" t="str">
        <f aca="false">IF(AND($D419="",$E419=""),"",$H$2+SUMIF($F$3:$F419,"Mobile Money",$D$3:$D419)-SUMIF($F$3:$F419,"Mobile Money",$E$3:$E419))</f>
        <v/>
      </c>
    </row>
    <row r="420" customFormat="false" ht="15" hidden="false" customHeight="false" outlineLevel="0" collapsed="false">
      <c r="A420" s="2"/>
      <c r="B420" s="4"/>
      <c r="C420" s="4"/>
      <c r="D420" s="5"/>
      <c r="E420" s="5"/>
      <c r="F420" s="4"/>
      <c r="G420" s="7" t="str">
        <f aca="false">IF(AND($D420="",$E420=""),"",$G$2+SUMIF($F$3:$F420,"Espèces",$D$3:$D420)-SUMIF($F$3:$F420,"Espèces",$E$3:$E420))</f>
        <v/>
      </c>
      <c r="H420" s="7" t="str">
        <f aca="false">IF(AND($D420="",$E420=""),"",$H$2+SUMIF($F$3:$F420,"Mobile Money",$D$3:$D420)-SUMIF($F$3:$F420,"Mobile Money",$E$3:$E420))</f>
        <v/>
      </c>
    </row>
    <row r="421" customFormat="false" ht="15" hidden="false" customHeight="false" outlineLevel="0" collapsed="false">
      <c r="A421" s="2"/>
      <c r="B421" s="4"/>
      <c r="C421" s="4"/>
      <c r="D421" s="5"/>
      <c r="E421" s="5"/>
      <c r="F421" s="4"/>
      <c r="G421" s="7" t="str">
        <f aca="false">IF(AND($D421="",$E421=""),"",$G$2+SUMIF($F$3:$F421,"Espèces",$D$3:$D421)-SUMIF($F$3:$F421,"Espèces",$E$3:$E421))</f>
        <v/>
      </c>
      <c r="H421" s="7" t="str">
        <f aca="false">IF(AND($D421="",$E421=""),"",$H$2+SUMIF($F$3:$F421,"Mobile Money",$D$3:$D421)-SUMIF($F$3:$F421,"Mobile Money",$E$3:$E421))</f>
        <v/>
      </c>
    </row>
    <row r="422" customFormat="false" ht="15" hidden="false" customHeight="false" outlineLevel="0" collapsed="false">
      <c r="A422" s="2"/>
      <c r="B422" s="4"/>
      <c r="C422" s="4"/>
      <c r="D422" s="5"/>
      <c r="E422" s="5"/>
      <c r="F422" s="4"/>
      <c r="G422" s="7" t="str">
        <f aca="false">IF(AND($D422="",$E422=""),"",$G$2+SUMIF($F$3:$F422,"Espèces",$D$3:$D422)-SUMIF($F$3:$F422,"Espèces",$E$3:$E422))</f>
        <v/>
      </c>
      <c r="H422" s="7" t="str">
        <f aca="false">IF(AND($D422="",$E422=""),"",$H$2+SUMIF($F$3:$F422,"Mobile Money",$D$3:$D422)-SUMIF($F$3:$F422,"Mobile Money",$E$3:$E422))</f>
        <v/>
      </c>
    </row>
    <row r="423" customFormat="false" ht="15" hidden="false" customHeight="false" outlineLevel="0" collapsed="false">
      <c r="A423" s="2"/>
      <c r="B423" s="4"/>
      <c r="C423" s="4"/>
      <c r="D423" s="5"/>
      <c r="E423" s="5"/>
      <c r="F423" s="4"/>
      <c r="G423" s="7" t="str">
        <f aca="false">IF(AND($D423="",$E423=""),"",$G$2+SUMIF($F$3:$F423,"Espèces",$D$3:$D423)-SUMIF($F$3:$F423,"Espèces",$E$3:$E423))</f>
        <v/>
      </c>
      <c r="H423" s="7" t="str">
        <f aca="false">IF(AND($D423="",$E423=""),"",$H$2+SUMIF($F$3:$F423,"Mobile Money",$D$3:$D423)-SUMIF($F$3:$F423,"Mobile Money",$E$3:$E423))</f>
        <v/>
      </c>
    </row>
    <row r="424" customFormat="false" ht="15" hidden="false" customHeight="false" outlineLevel="0" collapsed="false">
      <c r="A424" s="2"/>
      <c r="B424" s="4"/>
      <c r="C424" s="4"/>
      <c r="D424" s="5"/>
      <c r="E424" s="5"/>
      <c r="F424" s="4"/>
      <c r="G424" s="7" t="str">
        <f aca="false">IF(AND($D424="",$E424=""),"",$G$2+SUMIF($F$3:$F424,"Espèces",$D$3:$D424)-SUMIF($F$3:$F424,"Espèces",$E$3:$E424))</f>
        <v/>
      </c>
      <c r="H424" s="7" t="str">
        <f aca="false">IF(AND($D424="",$E424=""),"",$H$2+SUMIF($F$3:$F424,"Mobile Money",$D$3:$D424)-SUMIF($F$3:$F424,"Mobile Money",$E$3:$E424))</f>
        <v/>
      </c>
    </row>
    <row r="425" customFormat="false" ht="15" hidden="false" customHeight="false" outlineLevel="0" collapsed="false">
      <c r="A425" s="2"/>
      <c r="B425" s="4"/>
      <c r="C425" s="4"/>
      <c r="D425" s="5"/>
      <c r="E425" s="5"/>
      <c r="F425" s="4"/>
      <c r="G425" s="7" t="str">
        <f aca="false">IF(AND($D425="",$E425=""),"",$G$2+SUMIF($F$3:$F425,"Espèces",$D$3:$D425)-SUMIF($F$3:$F425,"Espèces",$E$3:$E425))</f>
        <v/>
      </c>
      <c r="H425" s="7" t="str">
        <f aca="false">IF(AND($D425="",$E425=""),"",$H$2+SUMIF($F$3:$F425,"Mobile Money",$D$3:$D425)-SUMIF($F$3:$F425,"Mobile Money",$E$3:$E425))</f>
        <v/>
      </c>
    </row>
    <row r="426" customFormat="false" ht="15" hidden="false" customHeight="false" outlineLevel="0" collapsed="false">
      <c r="A426" s="2"/>
      <c r="B426" s="4"/>
      <c r="C426" s="4"/>
      <c r="D426" s="5"/>
      <c r="E426" s="5"/>
      <c r="F426" s="4"/>
      <c r="G426" s="7" t="str">
        <f aca="false">IF(AND($D426="",$E426=""),"",$G$2+SUMIF($F$3:$F426,"Espèces",$D$3:$D426)-SUMIF($F$3:$F426,"Espèces",$E$3:$E426))</f>
        <v/>
      </c>
      <c r="H426" s="7" t="str">
        <f aca="false">IF(AND($D426="",$E426=""),"",$H$2+SUMIF($F$3:$F426,"Mobile Money",$D$3:$D426)-SUMIF($F$3:$F426,"Mobile Money",$E$3:$E426))</f>
        <v/>
      </c>
    </row>
    <row r="427" customFormat="false" ht="15" hidden="false" customHeight="false" outlineLevel="0" collapsed="false">
      <c r="A427" s="2"/>
      <c r="B427" s="4"/>
      <c r="C427" s="4"/>
      <c r="D427" s="5"/>
      <c r="E427" s="5"/>
      <c r="F427" s="4"/>
      <c r="G427" s="7" t="str">
        <f aca="false">IF(AND($D427="",$E427=""),"",$G$2+SUMIF($F$3:$F427,"Espèces",$D$3:$D427)-SUMIF($F$3:$F427,"Espèces",$E$3:$E427))</f>
        <v/>
      </c>
      <c r="H427" s="7" t="str">
        <f aca="false">IF(AND($D427="",$E427=""),"",$H$2+SUMIF($F$3:$F427,"Mobile Money",$D$3:$D427)-SUMIF($F$3:$F427,"Mobile Money",$E$3:$E427))</f>
        <v/>
      </c>
    </row>
    <row r="428" customFormat="false" ht="15" hidden="false" customHeight="false" outlineLevel="0" collapsed="false">
      <c r="A428" s="2"/>
      <c r="B428" s="4"/>
      <c r="C428" s="4"/>
      <c r="D428" s="5"/>
      <c r="E428" s="5"/>
      <c r="F428" s="4"/>
      <c r="G428" s="7" t="str">
        <f aca="false">IF(AND($D428="",$E428=""),"",$G$2+SUMIF($F$3:$F428,"Espèces",$D$3:$D428)-SUMIF($F$3:$F428,"Espèces",$E$3:$E428))</f>
        <v/>
      </c>
      <c r="H428" s="7" t="str">
        <f aca="false">IF(AND($D428="",$E428=""),"",$H$2+SUMIF($F$3:$F428,"Mobile Money",$D$3:$D428)-SUMIF($F$3:$F428,"Mobile Money",$E$3:$E428))</f>
        <v/>
      </c>
    </row>
    <row r="429" customFormat="false" ht="15" hidden="false" customHeight="false" outlineLevel="0" collapsed="false">
      <c r="A429" s="2"/>
      <c r="B429" s="4"/>
      <c r="C429" s="4"/>
      <c r="D429" s="5"/>
      <c r="E429" s="5"/>
      <c r="F429" s="4"/>
      <c r="G429" s="7" t="str">
        <f aca="false">IF(AND($D429="",$E429=""),"",$G$2+SUMIF($F$3:$F429,"Espèces",$D$3:$D429)-SUMIF($F$3:$F429,"Espèces",$E$3:$E429))</f>
        <v/>
      </c>
      <c r="H429" s="7" t="str">
        <f aca="false">IF(AND($D429="",$E429=""),"",$H$2+SUMIF($F$3:$F429,"Mobile Money",$D$3:$D429)-SUMIF($F$3:$F429,"Mobile Money",$E$3:$E429))</f>
        <v/>
      </c>
    </row>
    <row r="430" customFormat="false" ht="15" hidden="false" customHeight="false" outlineLevel="0" collapsed="false">
      <c r="A430" s="2"/>
      <c r="B430" s="4"/>
      <c r="C430" s="4"/>
      <c r="D430" s="5"/>
      <c r="E430" s="5"/>
      <c r="F430" s="4"/>
      <c r="G430" s="7" t="str">
        <f aca="false">IF(AND($D430="",$E430=""),"",$G$2+SUMIF($F$3:$F430,"Espèces",$D$3:$D430)-SUMIF($F$3:$F430,"Espèces",$E$3:$E430))</f>
        <v/>
      </c>
      <c r="H430" s="7" t="str">
        <f aca="false">IF(AND($D430="",$E430=""),"",$H$2+SUMIF($F$3:$F430,"Mobile Money",$D$3:$D430)-SUMIF($F$3:$F430,"Mobile Money",$E$3:$E430))</f>
        <v/>
      </c>
    </row>
    <row r="431" customFormat="false" ht="15" hidden="false" customHeight="false" outlineLevel="0" collapsed="false">
      <c r="A431" s="2"/>
      <c r="B431" s="4"/>
      <c r="C431" s="4"/>
      <c r="D431" s="5"/>
      <c r="E431" s="5"/>
      <c r="F431" s="4"/>
      <c r="G431" s="7" t="str">
        <f aca="false">IF(AND($D431="",$E431=""),"",$G$2+SUMIF($F$3:$F431,"Espèces",$D$3:$D431)-SUMIF($F$3:$F431,"Espèces",$E$3:$E431))</f>
        <v/>
      </c>
      <c r="H431" s="7" t="str">
        <f aca="false">IF(AND($D431="",$E431=""),"",$H$2+SUMIF($F$3:$F431,"Mobile Money",$D$3:$D431)-SUMIF($F$3:$F431,"Mobile Money",$E$3:$E431))</f>
        <v/>
      </c>
    </row>
    <row r="432" customFormat="false" ht="15" hidden="false" customHeight="false" outlineLevel="0" collapsed="false">
      <c r="A432" s="2"/>
      <c r="B432" s="4"/>
      <c r="C432" s="4"/>
      <c r="D432" s="5"/>
      <c r="E432" s="5"/>
      <c r="F432" s="4"/>
      <c r="G432" s="7" t="str">
        <f aca="false">IF(AND($D432="",$E432=""),"",$G$2+SUMIF($F$3:$F432,"Espèces",$D$3:$D432)-SUMIF($F$3:$F432,"Espèces",$E$3:$E432))</f>
        <v/>
      </c>
      <c r="H432" s="7" t="str">
        <f aca="false">IF(AND($D432="",$E432=""),"",$H$2+SUMIF($F$3:$F432,"Mobile Money",$D$3:$D432)-SUMIF($F$3:$F432,"Mobile Money",$E$3:$E432))</f>
        <v/>
      </c>
    </row>
    <row r="433" customFormat="false" ht="15" hidden="false" customHeight="false" outlineLevel="0" collapsed="false">
      <c r="A433" s="2"/>
      <c r="B433" s="4"/>
      <c r="C433" s="4"/>
      <c r="D433" s="5"/>
      <c r="E433" s="5"/>
      <c r="F433" s="4"/>
      <c r="G433" s="7" t="str">
        <f aca="false">IF(AND($D433="",$E433=""),"",$G$2+SUMIF($F$3:$F433,"Espèces",$D$3:$D433)-SUMIF($F$3:$F433,"Espèces",$E$3:$E433))</f>
        <v/>
      </c>
      <c r="H433" s="7" t="str">
        <f aca="false">IF(AND($D433="",$E433=""),"",$H$2+SUMIF($F$3:$F433,"Mobile Money",$D$3:$D433)-SUMIF($F$3:$F433,"Mobile Money",$E$3:$E433))</f>
        <v/>
      </c>
    </row>
    <row r="434" customFormat="false" ht="15" hidden="false" customHeight="false" outlineLevel="0" collapsed="false">
      <c r="A434" s="2"/>
      <c r="B434" s="4"/>
      <c r="C434" s="4"/>
      <c r="D434" s="5"/>
      <c r="E434" s="5"/>
      <c r="F434" s="4"/>
      <c r="G434" s="7" t="str">
        <f aca="false">IF(AND($D434="",$E434=""),"",$G$2+SUMIF($F$3:$F434,"Espèces",$D$3:$D434)-SUMIF($F$3:$F434,"Espèces",$E$3:$E434))</f>
        <v/>
      </c>
      <c r="H434" s="7" t="str">
        <f aca="false">IF(AND($D434="",$E434=""),"",$H$2+SUMIF($F$3:$F434,"Mobile Money",$D$3:$D434)-SUMIF($F$3:$F434,"Mobile Money",$E$3:$E434))</f>
        <v/>
      </c>
    </row>
    <row r="435" customFormat="false" ht="15" hidden="false" customHeight="false" outlineLevel="0" collapsed="false">
      <c r="A435" s="2"/>
      <c r="B435" s="4"/>
      <c r="C435" s="4"/>
      <c r="D435" s="5"/>
      <c r="E435" s="5"/>
      <c r="F435" s="4"/>
      <c r="G435" s="7" t="str">
        <f aca="false">IF(AND($D435="",$E435=""),"",$G$2+SUMIF($F$3:$F435,"Espèces",$D$3:$D435)-SUMIF($F$3:$F435,"Espèces",$E$3:$E435))</f>
        <v/>
      </c>
      <c r="H435" s="7" t="str">
        <f aca="false">IF(AND($D435="",$E435=""),"",$H$2+SUMIF($F$3:$F435,"Mobile Money",$D$3:$D435)-SUMIF($F$3:$F435,"Mobile Money",$E$3:$E435))</f>
        <v/>
      </c>
    </row>
    <row r="436" customFormat="false" ht="15" hidden="false" customHeight="false" outlineLevel="0" collapsed="false">
      <c r="A436" s="2"/>
      <c r="B436" s="4"/>
      <c r="C436" s="4"/>
      <c r="D436" s="5"/>
      <c r="E436" s="5"/>
      <c r="F436" s="4"/>
      <c r="G436" s="7" t="str">
        <f aca="false">IF(AND($D436="",$E436=""),"",$G$2+SUMIF($F$3:$F436,"Espèces",$D$3:$D436)-SUMIF($F$3:$F436,"Espèces",$E$3:$E436))</f>
        <v/>
      </c>
      <c r="H436" s="7" t="str">
        <f aca="false">IF(AND($D436="",$E436=""),"",$H$2+SUMIF($F$3:$F436,"Mobile Money",$D$3:$D436)-SUMIF($F$3:$F436,"Mobile Money",$E$3:$E436))</f>
        <v/>
      </c>
    </row>
    <row r="437" customFormat="false" ht="15" hidden="false" customHeight="false" outlineLevel="0" collapsed="false">
      <c r="A437" s="2"/>
      <c r="B437" s="4"/>
      <c r="C437" s="4"/>
      <c r="D437" s="5"/>
      <c r="E437" s="5"/>
      <c r="F437" s="4"/>
      <c r="G437" s="7" t="str">
        <f aca="false">IF(AND($D437="",$E437=""),"",$G$2+SUMIF($F$3:$F437,"Espèces",$D$3:$D437)-SUMIF($F$3:$F437,"Espèces",$E$3:$E437))</f>
        <v/>
      </c>
      <c r="H437" s="7" t="str">
        <f aca="false">IF(AND($D437="",$E437=""),"",$H$2+SUMIF($F$3:$F437,"Mobile Money",$D$3:$D437)-SUMIF($F$3:$F437,"Mobile Money",$E$3:$E437))</f>
        <v/>
      </c>
    </row>
    <row r="438" customFormat="false" ht="15" hidden="false" customHeight="false" outlineLevel="0" collapsed="false">
      <c r="A438" s="2"/>
      <c r="B438" s="4"/>
      <c r="C438" s="4"/>
      <c r="D438" s="5"/>
      <c r="E438" s="5"/>
      <c r="F438" s="4"/>
      <c r="G438" s="7" t="str">
        <f aca="false">IF(AND($D438="",$E438=""),"",$G$2+SUMIF($F$3:$F438,"Espèces",$D$3:$D438)-SUMIF($F$3:$F438,"Espèces",$E$3:$E438))</f>
        <v/>
      </c>
      <c r="H438" s="7" t="str">
        <f aca="false">IF(AND($D438="",$E438=""),"",$H$2+SUMIF($F$3:$F438,"Mobile Money",$D$3:$D438)-SUMIF($F$3:$F438,"Mobile Money",$E$3:$E438))</f>
        <v/>
      </c>
    </row>
    <row r="439" customFormat="false" ht="15" hidden="false" customHeight="false" outlineLevel="0" collapsed="false">
      <c r="A439" s="2"/>
      <c r="B439" s="4"/>
      <c r="C439" s="4"/>
      <c r="D439" s="5"/>
      <c r="E439" s="5"/>
      <c r="F439" s="4"/>
      <c r="G439" s="7" t="str">
        <f aca="false">IF(AND($D439="",$E439=""),"",$G$2+SUMIF($F$3:$F439,"Espèces",$D$3:$D439)-SUMIF($F$3:$F439,"Espèces",$E$3:$E439))</f>
        <v/>
      </c>
      <c r="H439" s="7" t="str">
        <f aca="false">IF(AND($D439="",$E439=""),"",$H$2+SUMIF($F$3:$F439,"Mobile Money",$D$3:$D439)-SUMIF($F$3:$F439,"Mobile Money",$E$3:$E439))</f>
        <v/>
      </c>
    </row>
    <row r="440" customFormat="false" ht="15" hidden="false" customHeight="false" outlineLevel="0" collapsed="false">
      <c r="A440" s="2"/>
      <c r="B440" s="4"/>
      <c r="C440" s="4"/>
      <c r="D440" s="5"/>
      <c r="E440" s="5"/>
      <c r="F440" s="4"/>
      <c r="G440" s="7" t="str">
        <f aca="false">IF(AND($D440="",$E440=""),"",$G$2+SUMIF($F$3:$F440,"Espèces",$D$3:$D440)-SUMIF($F$3:$F440,"Espèces",$E$3:$E440))</f>
        <v/>
      </c>
      <c r="H440" s="7" t="str">
        <f aca="false">IF(AND($D440="",$E440=""),"",$H$2+SUMIF($F$3:$F440,"Mobile Money",$D$3:$D440)-SUMIF($F$3:$F440,"Mobile Money",$E$3:$E440))</f>
        <v/>
      </c>
    </row>
    <row r="441" customFormat="false" ht="15" hidden="false" customHeight="false" outlineLevel="0" collapsed="false">
      <c r="A441" s="2"/>
      <c r="B441" s="4"/>
      <c r="C441" s="4"/>
      <c r="D441" s="5"/>
      <c r="E441" s="5"/>
      <c r="F441" s="4"/>
      <c r="G441" s="7" t="str">
        <f aca="false">IF(AND($D441="",$E441=""),"",$G$2+SUMIF($F$3:$F441,"Espèces",$D$3:$D441)-SUMIF($F$3:$F441,"Espèces",$E$3:$E441))</f>
        <v/>
      </c>
      <c r="H441" s="7" t="str">
        <f aca="false">IF(AND($D441="",$E441=""),"",$H$2+SUMIF($F$3:$F441,"Mobile Money",$D$3:$D441)-SUMIF($F$3:$F441,"Mobile Money",$E$3:$E441))</f>
        <v/>
      </c>
    </row>
    <row r="442" customFormat="false" ht="15" hidden="false" customHeight="false" outlineLevel="0" collapsed="false">
      <c r="A442" s="2"/>
      <c r="B442" s="4"/>
      <c r="C442" s="4"/>
      <c r="D442" s="5"/>
      <c r="E442" s="5"/>
      <c r="F442" s="4"/>
      <c r="G442" s="7" t="str">
        <f aca="false">IF(AND($D442="",$E442=""),"",$G$2+SUMIF($F$3:$F442,"Espèces",$D$3:$D442)-SUMIF($F$3:$F442,"Espèces",$E$3:$E442))</f>
        <v/>
      </c>
      <c r="H442" s="7" t="str">
        <f aca="false">IF(AND($D442="",$E442=""),"",$H$2+SUMIF($F$3:$F442,"Mobile Money",$D$3:$D442)-SUMIF($F$3:$F442,"Mobile Money",$E$3:$E442))</f>
        <v/>
      </c>
    </row>
    <row r="443" customFormat="false" ht="15" hidden="false" customHeight="false" outlineLevel="0" collapsed="false">
      <c r="A443" s="2"/>
      <c r="B443" s="4"/>
      <c r="C443" s="4"/>
      <c r="D443" s="5"/>
      <c r="E443" s="5"/>
      <c r="F443" s="4"/>
      <c r="G443" s="7" t="str">
        <f aca="false">IF(AND($D443="",$E443=""),"",$G$2+SUMIF($F$3:$F443,"Espèces",$D$3:$D443)-SUMIF($F$3:$F443,"Espèces",$E$3:$E443))</f>
        <v/>
      </c>
      <c r="H443" s="7" t="str">
        <f aca="false">IF(AND($D443="",$E443=""),"",$H$2+SUMIF($F$3:$F443,"Mobile Money",$D$3:$D443)-SUMIF($F$3:$F443,"Mobile Money",$E$3:$E443))</f>
        <v/>
      </c>
    </row>
    <row r="444" customFormat="false" ht="15" hidden="false" customHeight="false" outlineLevel="0" collapsed="false">
      <c r="A444" s="2"/>
      <c r="B444" s="4"/>
      <c r="C444" s="4"/>
      <c r="D444" s="5"/>
      <c r="E444" s="5"/>
      <c r="F444" s="4"/>
      <c r="G444" s="7" t="str">
        <f aca="false">IF(AND($D444="",$E444=""),"",$G$2+SUMIF($F$3:$F444,"Espèces",$D$3:$D444)-SUMIF($F$3:$F444,"Espèces",$E$3:$E444))</f>
        <v/>
      </c>
      <c r="H444" s="7" t="str">
        <f aca="false">IF(AND($D444="",$E444=""),"",$H$2+SUMIF($F$3:$F444,"Mobile Money",$D$3:$D444)-SUMIF($F$3:$F444,"Mobile Money",$E$3:$E444))</f>
        <v/>
      </c>
    </row>
    <row r="445" customFormat="false" ht="15" hidden="false" customHeight="false" outlineLevel="0" collapsed="false">
      <c r="A445" s="2"/>
      <c r="B445" s="4"/>
      <c r="C445" s="4"/>
      <c r="D445" s="5"/>
      <c r="E445" s="5"/>
      <c r="F445" s="4"/>
      <c r="G445" s="7" t="str">
        <f aca="false">IF(AND($D445="",$E445=""),"",$G$2+SUMIF($F$3:$F445,"Espèces",$D$3:$D445)-SUMIF($F$3:$F445,"Espèces",$E$3:$E445))</f>
        <v/>
      </c>
      <c r="H445" s="7" t="str">
        <f aca="false">IF(AND($D445="",$E445=""),"",$H$2+SUMIF($F$3:$F445,"Mobile Money",$D$3:$D445)-SUMIF($F$3:$F445,"Mobile Money",$E$3:$E445))</f>
        <v/>
      </c>
    </row>
    <row r="446" customFormat="false" ht="15" hidden="false" customHeight="false" outlineLevel="0" collapsed="false">
      <c r="A446" s="2"/>
      <c r="B446" s="4"/>
      <c r="C446" s="4"/>
      <c r="D446" s="5"/>
      <c r="E446" s="5"/>
      <c r="F446" s="4"/>
      <c r="G446" s="7" t="str">
        <f aca="false">IF(AND($D446="",$E446=""),"",$G$2+SUMIF($F$3:$F446,"Espèces",$D$3:$D446)-SUMIF($F$3:$F446,"Espèces",$E$3:$E446))</f>
        <v/>
      </c>
      <c r="H446" s="7" t="str">
        <f aca="false">IF(AND($D446="",$E446=""),"",$H$2+SUMIF($F$3:$F446,"Mobile Money",$D$3:$D446)-SUMIF($F$3:$F446,"Mobile Money",$E$3:$E446))</f>
        <v/>
      </c>
    </row>
    <row r="447" customFormat="false" ht="15" hidden="false" customHeight="false" outlineLevel="0" collapsed="false">
      <c r="A447" s="2"/>
      <c r="B447" s="4"/>
      <c r="C447" s="4"/>
      <c r="D447" s="5"/>
      <c r="E447" s="5"/>
      <c r="F447" s="4"/>
      <c r="G447" s="7" t="str">
        <f aca="false">IF(AND($D447="",$E447=""),"",$G$2+SUMIF($F$3:$F447,"Espèces",$D$3:$D447)-SUMIF($F$3:$F447,"Espèces",$E$3:$E447))</f>
        <v/>
      </c>
      <c r="H447" s="7" t="str">
        <f aca="false">IF(AND($D447="",$E447=""),"",$H$2+SUMIF($F$3:$F447,"Mobile Money",$D$3:$D447)-SUMIF($F$3:$F447,"Mobile Money",$E$3:$E447))</f>
        <v/>
      </c>
    </row>
    <row r="448" customFormat="false" ht="15" hidden="false" customHeight="false" outlineLevel="0" collapsed="false">
      <c r="A448" s="2"/>
      <c r="B448" s="4"/>
      <c r="C448" s="4"/>
      <c r="D448" s="5"/>
      <c r="E448" s="5"/>
      <c r="F448" s="4"/>
      <c r="G448" s="7" t="str">
        <f aca="false">IF(AND($D448="",$E448=""),"",$G$2+SUMIF($F$3:$F448,"Espèces",$D$3:$D448)-SUMIF($F$3:$F448,"Espèces",$E$3:$E448))</f>
        <v/>
      </c>
      <c r="H448" s="7" t="str">
        <f aca="false">IF(AND($D448="",$E448=""),"",$H$2+SUMIF($F$3:$F448,"Mobile Money",$D$3:$D448)-SUMIF($F$3:$F448,"Mobile Money",$E$3:$E448))</f>
        <v/>
      </c>
    </row>
    <row r="449" customFormat="false" ht="15" hidden="false" customHeight="false" outlineLevel="0" collapsed="false">
      <c r="A449" s="2"/>
      <c r="B449" s="4"/>
      <c r="C449" s="4"/>
      <c r="D449" s="5"/>
      <c r="E449" s="5"/>
      <c r="F449" s="4"/>
      <c r="G449" s="7" t="str">
        <f aca="false">IF(AND($D449="",$E449=""),"",$G$2+SUMIF($F$3:$F449,"Espèces",$D$3:$D449)-SUMIF($F$3:$F449,"Espèces",$E$3:$E449))</f>
        <v/>
      </c>
      <c r="H449" s="7" t="str">
        <f aca="false">IF(AND($D449="",$E449=""),"",$H$2+SUMIF($F$3:$F449,"Mobile Money",$D$3:$D449)-SUMIF($F$3:$F449,"Mobile Money",$E$3:$E449))</f>
        <v/>
      </c>
    </row>
    <row r="450" customFormat="false" ht="15" hidden="false" customHeight="false" outlineLevel="0" collapsed="false">
      <c r="A450" s="2"/>
      <c r="B450" s="4"/>
      <c r="C450" s="4"/>
      <c r="D450" s="5"/>
      <c r="E450" s="5"/>
      <c r="F450" s="4"/>
      <c r="G450" s="7" t="str">
        <f aca="false">IF(AND($D450="",$E450=""),"",$G$2+SUMIF($F$3:$F450,"Espèces",$D$3:$D450)-SUMIF($F$3:$F450,"Espèces",$E$3:$E450))</f>
        <v/>
      </c>
      <c r="H450" s="7" t="str">
        <f aca="false">IF(AND($D450="",$E450=""),"",$H$2+SUMIF($F$3:$F450,"Mobile Money",$D$3:$D450)-SUMIF($F$3:$F450,"Mobile Money",$E$3:$E450))</f>
        <v/>
      </c>
    </row>
    <row r="451" customFormat="false" ht="15" hidden="false" customHeight="false" outlineLevel="0" collapsed="false">
      <c r="A451" s="2"/>
      <c r="B451" s="4"/>
      <c r="C451" s="4"/>
      <c r="D451" s="5"/>
      <c r="E451" s="5"/>
      <c r="F451" s="4"/>
      <c r="G451" s="7" t="str">
        <f aca="false">IF(AND($D451="",$E451=""),"",$G$2+SUMIF($F$3:$F451,"Espèces",$D$3:$D451)-SUMIF($F$3:$F451,"Espèces",$E$3:$E451))</f>
        <v/>
      </c>
      <c r="H451" s="7" t="str">
        <f aca="false">IF(AND($D451="",$E451=""),"",$H$2+SUMIF($F$3:$F451,"Mobile Money",$D$3:$D451)-SUMIF($F$3:$F451,"Mobile Money",$E$3:$E451))</f>
        <v/>
      </c>
    </row>
    <row r="452" customFormat="false" ht="15" hidden="false" customHeight="false" outlineLevel="0" collapsed="false">
      <c r="A452" s="2"/>
      <c r="B452" s="4"/>
      <c r="C452" s="4"/>
      <c r="D452" s="5"/>
      <c r="E452" s="5"/>
      <c r="F452" s="4"/>
      <c r="G452" s="7" t="str">
        <f aca="false">IF(AND($D452="",$E452=""),"",$G$2+SUMIF($F$3:$F452,"Espèces",$D$3:$D452)-SUMIF($F$3:$F452,"Espèces",$E$3:$E452))</f>
        <v/>
      </c>
      <c r="H452" s="7" t="str">
        <f aca="false">IF(AND($D452="",$E452=""),"",$H$2+SUMIF($F$3:$F452,"Mobile Money",$D$3:$D452)-SUMIF($F$3:$F452,"Mobile Money",$E$3:$E452))</f>
        <v/>
      </c>
    </row>
    <row r="453" customFormat="false" ht="15" hidden="false" customHeight="false" outlineLevel="0" collapsed="false">
      <c r="A453" s="2"/>
      <c r="B453" s="4"/>
      <c r="C453" s="4"/>
      <c r="D453" s="5"/>
      <c r="E453" s="5"/>
      <c r="F453" s="4"/>
      <c r="G453" s="7" t="str">
        <f aca="false">IF(AND($D453="",$E453=""),"",$G$2+SUMIF($F$3:$F453,"Espèces",$D$3:$D453)-SUMIF($F$3:$F453,"Espèces",$E$3:$E453))</f>
        <v/>
      </c>
      <c r="H453" s="7" t="str">
        <f aca="false">IF(AND($D453="",$E453=""),"",$H$2+SUMIF($F$3:$F453,"Mobile Money",$D$3:$D453)-SUMIF($F$3:$F453,"Mobile Money",$E$3:$E453))</f>
        <v/>
      </c>
    </row>
    <row r="454" customFormat="false" ht="15" hidden="false" customHeight="false" outlineLevel="0" collapsed="false">
      <c r="A454" s="2"/>
      <c r="B454" s="4"/>
      <c r="C454" s="4"/>
      <c r="D454" s="5"/>
      <c r="E454" s="5"/>
      <c r="F454" s="4"/>
      <c r="G454" s="7" t="str">
        <f aca="false">IF(AND($D454="",$E454=""),"",$G$2+SUMIF($F$3:$F454,"Espèces",$D$3:$D454)-SUMIF($F$3:$F454,"Espèces",$E$3:$E454))</f>
        <v/>
      </c>
      <c r="H454" s="7" t="str">
        <f aca="false">IF(AND($D454="",$E454=""),"",$H$2+SUMIF($F$3:$F454,"Mobile Money",$D$3:$D454)-SUMIF($F$3:$F454,"Mobile Money",$E$3:$E454))</f>
        <v/>
      </c>
    </row>
    <row r="455" customFormat="false" ht="15" hidden="false" customHeight="false" outlineLevel="0" collapsed="false">
      <c r="A455" s="2"/>
      <c r="B455" s="4"/>
      <c r="C455" s="4"/>
      <c r="D455" s="5"/>
      <c r="E455" s="5"/>
      <c r="F455" s="4"/>
      <c r="G455" s="7" t="str">
        <f aca="false">IF(AND($D455="",$E455=""),"",$G$2+SUMIF($F$3:$F455,"Espèces",$D$3:$D455)-SUMIF($F$3:$F455,"Espèces",$E$3:$E455))</f>
        <v/>
      </c>
      <c r="H455" s="7" t="str">
        <f aca="false">IF(AND($D455="",$E455=""),"",$H$2+SUMIF($F$3:$F455,"Mobile Money",$D$3:$D455)-SUMIF($F$3:$F455,"Mobile Money",$E$3:$E455))</f>
        <v/>
      </c>
    </row>
    <row r="456" customFormat="false" ht="15" hidden="false" customHeight="false" outlineLevel="0" collapsed="false">
      <c r="A456" s="2"/>
      <c r="B456" s="4"/>
      <c r="C456" s="4"/>
      <c r="D456" s="5"/>
      <c r="E456" s="5"/>
      <c r="F456" s="4"/>
      <c r="G456" s="7" t="str">
        <f aca="false">IF(AND($D456="",$E456=""),"",$G$2+SUMIF($F$3:$F456,"Espèces",$D$3:$D456)-SUMIF($F$3:$F456,"Espèces",$E$3:$E456))</f>
        <v/>
      </c>
      <c r="H456" s="7" t="str">
        <f aca="false">IF(AND($D456="",$E456=""),"",$H$2+SUMIF($F$3:$F456,"Mobile Money",$D$3:$D456)-SUMIF($F$3:$F456,"Mobile Money",$E$3:$E456))</f>
        <v/>
      </c>
    </row>
    <row r="457" customFormat="false" ht="15" hidden="false" customHeight="false" outlineLevel="0" collapsed="false">
      <c r="A457" s="2"/>
      <c r="B457" s="4"/>
      <c r="C457" s="4"/>
      <c r="D457" s="5"/>
      <c r="E457" s="5"/>
      <c r="F457" s="4"/>
      <c r="G457" s="7" t="str">
        <f aca="false">IF(AND($D457="",$E457=""),"",$G$2+SUMIF($F$3:$F457,"Espèces",$D$3:$D457)-SUMIF($F$3:$F457,"Espèces",$E$3:$E457))</f>
        <v/>
      </c>
      <c r="H457" s="7" t="str">
        <f aca="false">IF(AND($D457="",$E457=""),"",$H$2+SUMIF($F$3:$F457,"Mobile Money",$D$3:$D457)-SUMIF($F$3:$F457,"Mobile Money",$E$3:$E457))</f>
        <v/>
      </c>
    </row>
    <row r="458" customFormat="false" ht="15" hidden="false" customHeight="false" outlineLevel="0" collapsed="false">
      <c r="A458" s="2"/>
      <c r="B458" s="4"/>
      <c r="C458" s="4"/>
      <c r="D458" s="5"/>
      <c r="E458" s="5"/>
      <c r="F458" s="4"/>
      <c r="G458" s="7" t="str">
        <f aca="false">IF(AND($D458="",$E458=""),"",$G$2+SUMIF($F$3:$F458,"Espèces",$D$3:$D458)-SUMIF($F$3:$F458,"Espèces",$E$3:$E458))</f>
        <v/>
      </c>
      <c r="H458" s="7" t="str">
        <f aca="false">IF(AND($D458="",$E458=""),"",$H$2+SUMIF($F$3:$F458,"Mobile Money",$D$3:$D458)-SUMIF($F$3:$F458,"Mobile Money",$E$3:$E458))</f>
        <v/>
      </c>
    </row>
    <row r="459" customFormat="false" ht="15" hidden="false" customHeight="false" outlineLevel="0" collapsed="false">
      <c r="A459" s="2"/>
      <c r="B459" s="4"/>
      <c r="C459" s="4"/>
      <c r="D459" s="5"/>
      <c r="E459" s="5"/>
      <c r="F459" s="4"/>
      <c r="G459" s="7" t="str">
        <f aca="false">IF(AND($D459="",$E459=""),"",$G$2+SUMIF($F$3:$F459,"Espèces",$D$3:$D459)-SUMIF($F$3:$F459,"Espèces",$E$3:$E459))</f>
        <v/>
      </c>
      <c r="H459" s="7" t="str">
        <f aca="false">IF(AND($D459="",$E459=""),"",$H$2+SUMIF($F$3:$F459,"Mobile Money",$D$3:$D459)-SUMIF($F$3:$F459,"Mobile Money",$E$3:$E459))</f>
        <v/>
      </c>
    </row>
    <row r="460" customFormat="false" ht="15" hidden="false" customHeight="false" outlineLevel="0" collapsed="false">
      <c r="A460" s="2"/>
      <c r="B460" s="4"/>
      <c r="C460" s="4"/>
      <c r="D460" s="5"/>
      <c r="E460" s="5"/>
      <c r="F460" s="4"/>
      <c r="G460" s="7" t="str">
        <f aca="false">IF(AND($D460="",$E460=""),"",$G$2+SUMIF($F$3:$F460,"Espèces",$D$3:$D460)-SUMIF($F$3:$F460,"Espèces",$E$3:$E460))</f>
        <v/>
      </c>
      <c r="H460" s="7" t="str">
        <f aca="false">IF(AND($D460="",$E460=""),"",$H$2+SUMIF($F$3:$F460,"Mobile Money",$D$3:$D460)-SUMIF($F$3:$F460,"Mobile Money",$E$3:$E460))</f>
        <v/>
      </c>
    </row>
    <row r="461" customFormat="false" ht="15" hidden="false" customHeight="false" outlineLevel="0" collapsed="false">
      <c r="A461" s="2"/>
      <c r="B461" s="4"/>
      <c r="C461" s="4"/>
      <c r="D461" s="5"/>
      <c r="E461" s="5"/>
      <c r="F461" s="4"/>
      <c r="G461" s="7" t="str">
        <f aca="false">IF(AND($D461="",$E461=""),"",$G$2+SUMIF($F$3:$F461,"Espèces",$D$3:$D461)-SUMIF($F$3:$F461,"Espèces",$E$3:$E461))</f>
        <v/>
      </c>
      <c r="H461" s="7" t="str">
        <f aca="false">IF(AND($D461="",$E461=""),"",$H$2+SUMIF($F$3:$F461,"Mobile Money",$D$3:$D461)-SUMIF($F$3:$F461,"Mobile Money",$E$3:$E461))</f>
        <v/>
      </c>
    </row>
    <row r="462" customFormat="false" ht="15" hidden="false" customHeight="false" outlineLevel="0" collapsed="false">
      <c r="A462" s="2"/>
      <c r="B462" s="4"/>
      <c r="C462" s="4"/>
      <c r="D462" s="5"/>
      <c r="E462" s="5"/>
      <c r="F462" s="4"/>
      <c r="G462" s="7" t="str">
        <f aca="false">IF(AND($D462="",$E462=""),"",$G$2+SUMIF($F$3:$F462,"Espèces",$D$3:$D462)-SUMIF($F$3:$F462,"Espèces",$E$3:$E462))</f>
        <v/>
      </c>
      <c r="H462" s="7" t="str">
        <f aca="false">IF(AND($D462="",$E462=""),"",$H$2+SUMIF($F$3:$F462,"Mobile Money",$D$3:$D462)-SUMIF($F$3:$F462,"Mobile Money",$E$3:$E462))</f>
        <v/>
      </c>
    </row>
    <row r="463" customFormat="false" ht="15" hidden="false" customHeight="false" outlineLevel="0" collapsed="false">
      <c r="A463" s="2"/>
      <c r="B463" s="4"/>
      <c r="C463" s="4"/>
      <c r="D463" s="5"/>
      <c r="E463" s="5"/>
      <c r="F463" s="4"/>
      <c r="G463" s="7" t="str">
        <f aca="false">IF(AND($D463="",$E463=""),"",$G$2+SUMIF($F$3:$F463,"Espèces",$D$3:$D463)-SUMIF($F$3:$F463,"Espèces",$E$3:$E463))</f>
        <v/>
      </c>
      <c r="H463" s="7" t="str">
        <f aca="false">IF(AND($D463="",$E463=""),"",$H$2+SUMIF($F$3:$F463,"Mobile Money",$D$3:$D463)-SUMIF($F$3:$F463,"Mobile Money",$E$3:$E463))</f>
        <v/>
      </c>
    </row>
    <row r="464" customFormat="false" ht="15" hidden="false" customHeight="false" outlineLevel="0" collapsed="false">
      <c r="A464" s="2"/>
      <c r="B464" s="4"/>
      <c r="C464" s="4"/>
      <c r="D464" s="5"/>
      <c r="E464" s="5"/>
      <c r="F464" s="4"/>
      <c r="G464" s="7" t="str">
        <f aca="false">IF(AND($D464="",$E464=""),"",$G$2+SUMIF($F$3:$F464,"Espèces",$D$3:$D464)-SUMIF($F$3:$F464,"Espèces",$E$3:$E464))</f>
        <v/>
      </c>
      <c r="H464" s="7" t="str">
        <f aca="false">IF(AND($D464="",$E464=""),"",$H$2+SUMIF($F$3:$F464,"Mobile Money",$D$3:$D464)-SUMIF($F$3:$F464,"Mobile Money",$E$3:$E464))</f>
        <v/>
      </c>
    </row>
    <row r="465" customFormat="false" ht="15" hidden="false" customHeight="false" outlineLevel="0" collapsed="false">
      <c r="A465" s="2"/>
      <c r="B465" s="4"/>
      <c r="C465" s="4"/>
      <c r="D465" s="5"/>
      <c r="E465" s="5"/>
      <c r="F465" s="4"/>
      <c r="G465" s="7" t="str">
        <f aca="false">IF(AND($D465="",$E465=""),"",$G$2+SUMIF($F$3:$F465,"Espèces",$D$3:$D465)-SUMIF($F$3:$F465,"Espèces",$E$3:$E465))</f>
        <v/>
      </c>
      <c r="H465" s="7" t="str">
        <f aca="false">IF(AND($D465="",$E465=""),"",$H$2+SUMIF($F$3:$F465,"Mobile Money",$D$3:$D465)-SUMIF($F$3:$F465,"Mobile Money",$E$3:$E465))</f>
        <v/>
      </c>
    </row>
    <row r="466" customFormat="false" ht="15" hidden="false" customHeight="false" outlineLevel="0" collapsed="false">
      <c r="A466" s="2"/>
      <c r="B466" s="4"/>
      <c r="C466" s="4"/>
      <c r="D466" s="5"/>
      <c r="E466" s="5"/>
      <c r="F466" s="4"/>
      <c r="G466" s="7" t="str">
        <f aca="false">IF(AND($D466="",$E466=""),"",$G$2+SUMIF($F$3:$F466,"Espèces",$D$3:$D466)-SUMIF($F$3:$F466,"Espèces",$E$3:$E466))</f>
        <v/>
      </c>
      <c r="H466" s="7" t="str">
        <f aca="false">IF(AND($D466="",$E466=""),"",$H$2+SUMIF($F$3:$F466,"Mobile Money",$D$3:$D466)-SUMIF($F$3:$F466,"Mobile Money",$E$3:$E466))</f>
        <v/>
      </c>
    </row>
    <row r="467" customFormat="false" ht="15" hidden="false" customHeight="false" outlineLevel="0" collapsed="false">
      <c r="A467" s="2"/>
      <c r="B467" s="4"/>
      <c r="C467" s="4"/>
      <c r="D467" s="5"/>
      <c r="E467" s="5"/>
      <c r="F467" s="4"/>
      <c r="G467" s="7" t="str">
        <f aca="false">IF(AND($D467="",$E467=""),"",$G$2+SUMIF($F$3:$F467,"Espèces",$D$3:$D467)-SUMIF($F$3:$F467,"Espèces",$E$3:$E467))</f>
        <v/>
      </c>
      <c r="H467" s="7" t="str">
        <f aca="false">IF(AND($D467="",$E467=""),"",$H$2+SUMIF($F$3:$F467,"Mobile Money",$D$3:$D467)-SUMIF($F$3:$F467,"Mobile Money",$E$3:$E467))</f>
        <v/>
      </c>
    </row>
    <row r="468" customFormat="false" ht="15" hidden="false" customHeight="false" outlineLevel="0" collapsed="false">
      <c r="A468" s="2"/>
      <c r="B468" s="4"/>
      <c r="C468" s="4"/>
      <c r="D468" s="5"/>
      <c r="E468" s="5"/>
      <c r="F468" s="4"/>
      <c r="G468" s="7" t="str">
        <f aca="false">IF(AND($D468="",$E468=""),"",$G$2+SUMIF($F$3:$F468,"Espèces",$D$3:$D468)-SUMIF($F$3:$F468,"Espèces",$E$3:$E468))</f>
        <v/>
      </c>
      <c r="H468" s="7" t="str">
        <f aca="false">IF(AND($D468="",$E468=""),"",$H$2+SUMIF($F$3:$F468,"Mobile Money",$D$3:$D468)-SUMIF($F$3:$F468,"Mobile Money",$E$3:$E468))</f>
        <v/>
      </c>
    </row>
    <row r="469" customFormat="false" ht="15" hidden="false" customHeight="false" outlineLevel="0" collapsed="false">
      <c r="A469" s="2"/>
      <c r="B469" s="4"/>
      <c r="C469" s="4"/>
      <c r="D469" s="5"/>
      <c r="E469" s="5"/>
      <c r="F469" s="4"/>
      <c r="G469" s="7" t="str">
        <f aca="false">IF(AND($D469="",$E469=""),"",$G$2+SUMIF($F$3:$F469,"Espèces",$D$3:$D469)-SUMIF($F$3:$F469,"Espèces",$E$3:$E469))</f>
        <v/>
      </c>
      <c r="H469" s="7" t="str">
        <f aca="false">IF(AND($D469="",$E469=""),"",$H$2+SUMIF($F$3:$F469,"Mobile Money",$D$3:$D469)-SUMIF($F$3:$F469,"Mobile Money",$E$3:$E469))</f>
        <v/>
      </c>
    </row>
    <row r="470" customFormat="false" ht="15" hidden="false" customHeight="false" outlineLevel="0" collapsed="false">
      <c r="A470" s="2"/>
      <c r="B470" s="4"/>
      <c r="C470" s="4"/>
      <c r="D470" s="5"/>
      <c r="E470" s="5"/>
      <c r="F470" s="4"/>
      <c r="G470" s="7" t="str">
        <f aca="false">IF(AND($D470="",$E470=""),"",$G$2+SUMIF($F$3:$F470,"Espèces",$D$3:$D470)-SUMIF($F$3:$F470,"Espèces",$E$3:$E470))</f>
        <v/>
      </c>
      <c r="H470" s="7" t="str">
        <f aca="false">IF(AND($D470="",$E470=""),"",$H$2+SUMIF($F$3:$F470,"Mobile Money",$D$3:$D470)-SUMIF($F$3:$F470,"Mobile Money",$E$3:$E470))</f>
        <v/>
      </c>
    </row>
    <row r="471" customFormat="false" ht="15" hidden="false" customHeight="false" outlineLevel="0" collapsed="false">
      <c r="A471" s="2"/>
      <c r="B471" s="4"/>
      <c r="C471" s="4"/>
      <c r="D471" s="5"/>
      <c r="E471" s="5"/>
      <c r="F471" s="4"/>
      <c r="G471" s="7" t="str">
        <f aca="false">IF(AND($D471="",$E471=""),"",$G$2+SUMIF($F$3:$F471,"Espèces",$D$3:$D471)-SUMIF($F$3:$F471,"Espèces",$E$3:$E471))</f>
        <v/>
      </c>
      <c r="H471" s="7" t="str">
        <f aca="false">IF(AND($D471="",$E471=""),"",$H$2+SUMIF($F$3:$F471,"Mobile Money",$D$3:$D471)-SUMIF($F$3:$F471,"Mobile Money",$E$3:$E471))</f>
        <v/>
      </c>
    </row>
    <row r="472" customFormat="false" ht="15" hidden="false" customHeight="false" outlineLevel="0" collapsed="false">
      <c r="A472" s="2"/>
      <c r="B472" s="4"/>
      <c r="C472" s="4"/>
      <c r="D472" s="5"/>
      <c r="E472" s="5"/>
      <c r="F472" s="4"/>
      <c r="G472" s="7" t="str">
        <f aca="false">IF(AND($D472="",$E472=""),"",$G$2+SUMIF($F$3:$F472,"Espèces",$D$3:$D472)-SUMIF($F$3:$F472,"Espèces",$E$3:$E472))</f>
        <v/>
      </c>
      <c r="H472" s="7" t="str">
        <f aca="false">IF(AND($D472="",$E472=""),"",$H$2+SUMIF($F$3:$F472,"Mobile Money",$D$3:$D472)-SUMIF($F$3:$F472,"Mobile Money",$E$3:$E472))</f>
        <v/>
      </c>
    </row>
    <row r="473" customFormat="false" ht="15" hidden="false" customHeight="false" outlineLevel="0" collapsed="false">
      <c r="A473" s="2"/>
      <c r="B473" s="4"/>
      <c r="C473" s="4"/>
      <c r="D473" s="5"/>
      <c r="E473" s="5"/>
      <c r="F473" s="4"/>
      <c r="G473" s="7" t="str">
        <f aca="false">IF(AND($D473="",$E473=""),"",$G$2+SUMIF($F$3:$F473,"Espèces",$D$3:$D473)-SUMIF($F$3:$F473,"Espèces",$E$3:$E473))</f>
        <v/>
      </c>
      <c r="H473" s="7" t="str">
        <f aca="false">IF(AND($D473="",$E473=""),"",$H$2+SUMIF($F$3:$F473,"Mobile Money",$D$3:$D473)-SUMIF($F$3:$F473,"Mobile Money",$E$3:$E473))</f>
        <v/>
      </c>
    </row>
    <row r="474" customFormat="false" ht="15" hidden="false" customHeight="false" outlineLevel="0" collapsed="false">
      <c r="A474" s="2"/>
      <c r="B474" s="4"/>
      <c r="C474" s="4"/>
      <c r="D474" s="5"/>
      <c r="E474" s="5"/>
      <c r="F474" s="4"/>
      <c r="G474" s="7" t="str">
        <f aca="false">IF(AND($D474="",$E474=""),"",$G$2+SUMIF($F$3:$F474,"Espèces",$D$3:$D474)-SUMIF($F$3:$F474,"Espèces",$E$3:$E474))</f>
        <v/>
      </c>
      <c r="H474" s="7" t="str">
        <f aca="false">IF(AND($D474="",$E474=""),"",$H$2+SUMIF($F$3:$F474,"Mobile Money",$D$3:$D474)-SUMIF($F$3:$F474,"Mobile Money",$E$3:$E474))</f>
        <v/>
      </c>
    </row>
    <row r="475" customFormat="false" ht="15" hidden="false" customHeight="false" outlineLevel="0" collapsed="false">
      <c r="A475" s="2"/>
      <c r="B475" s="4"/>
      <c r="C475" s="4"/>
      <c r="D475" s="5"/>
      <c r="E475" s="5"/>
      <c r="F475" s="4"/>
      <c r="G475" s="7" t="str">
        <f aca="false">IF(AND($D475="",$E475=""),"",$G$2+SUMIF($F$3:$F475,"Espèces",$D$3:$D475)-SUMIF($F$3:$F475,"Espèces",$E$3:$E475))</f>
        <v/>
      </c>
      <c r="H475" s="7" t="str">
        <f aca="false">IF(AND($D475="",$E475=""),"",$H$2+SUMIF($F$3:$F475,"Mobile Money",$D$3:$D475)-SUMIF($F$3:$F475,"Mobile Money",$E$3:$E475))</f>
        <v/>
      </c>
    </row>
    <row r="476" customFormat="false" ht="15" hidden="false" customHeight="false" outlineLevel="0" collapsed="false">
      <c r="A476" s="2"/>
      <c r="B476" s="4"/>
      <c r="C476" s="4"/>
      <c r="D476" s="5"/>
      <c r="E476" s="5"/>
      <c r="F476" s="4"/>
      <c r="G476" s="7" t="str">
        <f aca="false">IF(AND($D476="",$E476=""),"",$G$2+SUMIF($F$3:$F476,"Espèces",$D$3:$D476)-SUMIF($F$3:$F476,"Espèces",$E$3:$E476))</f>
        <v/>
      </c>
      <c r="H476" s="7" t="str">
        <f aca="false">IF(AND($D476="",$E476=""),"",$H$2+SUMIF($F$3:$F476,"Mobile Money",$D$3:$D476)-SUMIF($F$3:$F476,"Mobile Money",$E$3:$E476))</f>
        <v/>
      </c>
    </row>
    <row r="477" customFormat="false" ht="15" hidden="false" customHeight="false" outlineLevel="0" collapsed="false">
      <c r="A477" s="2"/>
      <c r="B477" s="4"/>
      <c r="C477" s="4"/>
      <c r="D477" s="5"/>
      <c r="E477" s="5"/>
      <c r="F477" s="4"/>
      <c r="G477" s="7" t="str">
        <f aca="false">IF(AND($D477="",$E477=""),"",$G$2+SUMIF($F$3:$F477,"Espèces",$D$3:$D477)-SUMIF($F$3:$F477,"Espèces",$E$3:$E477))</f>
        <v/>
      </c>
      <c r="H477" s="7" t="str">
        <f aca="false">IF(AND($D477="",$E477=""),"",$H$2+SUMIF($F$3:$F477,"Mobile Money",$D$3:$D477)-SUMIF($F$3:$F477,"Mobile Money",$E$3:$E477))</f>
        <v/>
      </c>
    </row>
    <row r="478" customFormat="false" ht="15" hidden="false" customHeight="false" outlineLevel="0" collapsed="false">
      <c r="A478" s="2"/>
      <c r="B478" s="4"/>
      <c r="C478" s="4"/>
      <c r="D478" s="5"/>
      <c r="E478" s="5"/>
      <c r="F478" s="4"/>
      <c r="G478" s="7" t="str">
        <f aca="false">IF(AND($D478="",$E478=""),"",$G$2+SUMIF($F$3:$F478,"Espèces",$D$3:$D478)-SUMIF($F$3:$F478,"Espèces",$E$3:$E478))</f>
        <v/>
      </c>
      <c r="H478" s="7" t="str">
        <f aca="false">IF(AND($D478="",$E478=""),"",$H$2+SUMIF($F$3:$F478,"Mobile Money",$D$3:$D478)-SUMIF($F$3:$F478,"Mobile Money",$E$3:$E478))</f>
        <v/>
      </c>
    </row>
    <row r="479" customFormat="false" ht="15" hidden="false" customHeight="false" outlineLevel="0" collapsed="false">
      <c r="A479" s="2"/>
      <c r="B479" s="4"/>
      <c r="C479" s="4"/>
      <c r="D479" s="5"/>
      <c r="E479" s="5"/>
      <c r="F479" s="4"/>
      <c r="G479" s="7" t="str">
        <f aca="false">IF(AND($D479="",$E479=""),"",$G$2+SUMIF($F$3:$F479,"Espèces",$D$3:$D479)-SUMIF($F$3:$F479,"Espèces",$E$3:$E479))</f>
        <v/>
      </c>
      <c r="H479" s="7" t="str">
        <f aca="false">IF(AND($D479="",$E479=""),"",$H$2+SUMIF($F$3:$F479,"Mobile Money",$D$3:$D479)-SUMIF($F$3:$F479,"Mobile Money",$E$3:$E479))</f>
        <v/>
      </c>
    </row>
    <row r="480" customFormat="false" ht="15" hidden="false" customHeight="false" outlineLevel="0" collapsed="false">
      <c r="A480" s="2"/>
      <c r="B480" s="4"/>
      <c r="C480" s="4"/>
      <c r="D480" s="5"/>
      <c r="E480" s="5"/>
      <c r="F480" s="4"/>
      <c r="G480" s="7" t="str">
        <f aca="false">IF(AND($D480="",$E480=""),"",$G$2+SUMIF($F$3:$F480,"Espèces",$D$3:$D480)-SUMIF($F$3:$F480,"Espèces",$E$3:$E480))</f>
        <v/>
      </c>
      <c r="H480" s="7" t="str">
        <f aca="false">IF(AND($D480="",$E480=""),"",$H$2+SUMIF($F$3:$F480,"Mobile Money",$D$3:$D480)-SUMIF($F$3:$F480,"Mobile Money",$E$3:$E480))</f>
        <v/>
      </c>
    </row>
    <row r="481" customFormat="false" ht="15" hidden="false" customHeight="false" outlineLevel="0" collapsed="false">
      <c r="A481" s="2"/>
      <c r="B481" s="4"/>
      <c r="C481" s="4"/>
      <c r="D481" s="5"/>
      <c r="E481" s="5"/>
      <c r="F481" s="4"/>
      <c r="G481" s="7" t="str">
        <f aca="false">IF(AND($D481="",$E481=""),"",$G$2+SUMIF($F$3:$F481,"Espèces",$D$3:$D481)-SUMIF($F$3:$F481,"Espèces",$E$3:$E481))</f>
        <v/>
      </c>
      <c r="H481" s="7" t="str">
        <f aca="false">IF(AND($D481="",$E481=""),"",$H$2+SUMIF($F$3:$F481,"Mobile Money",$D$3:$D481)-SUMIF($F$3:$F481,"Mobile Money",$E$3:$E481))</f>
        <v/>
      </c>
    </row>
    <row r="482" customFormat="false" ht="15" hidden="false" customHeight="false" outlineLevel="0" collapsed="false">
      <c r="A482" s="2"/>
      <c r="B482" s="4"/>
      <c r="C482" s="4"/>
      <c r="D482" s="5"/>
      <c r="E482" s="5"/>
      <c r="F482" s="4"/>
      <c r="G482" s="7" t="str">
        <f aca="false">IF(AND($D482="",$E482=""),"",$G$2+SUMIF($F$3:$F482,"Espèces",$D$3:$D482)-SUMIF($F$3:$F482,"Espèces",$E$3:$E482))</f>
        <v/>
      </c>
      <c r="H482" s="7" t="str">
        <f aca="false">IF(AND($D482="",$E482=""),"",$H$2+SUMIF($F$3:$F482,"Mobile Money",$D$3:$D482)-SUMIF($F$3:$F482,"Mobile Money",$E$3:$E482))</f>
        <v/>
      </c>
    </row>
    <row r="483" customFormat="false" ht="15" hidden="false" customHeight="false" outlineLevel="0" collapsed="false">
      <c r="A483" s="2"/>
      <c r="B483" s="4"/>
      <c r="C483" s="4"/>
      <c r="D483" s="5"/>
      <c r="E483" s="5"/>
      <c r="F483" s="4"/>
      <c r="G483" s="7" t="str">
        <f aca="false">IF(AND($D483="",$E483=""),"",$G$2+SUMIF($F$3:$F483,"Espèces",$D$3:$D483)-SUMIF($F$3:$F483,"Espèces",$E$3:$E483))</f>
        <v/>
      </c>
      <c r="H483" s="7" t="str">
        <f aca="false">IF(AND($D483="",$E483=""),"",$H$2+SUMIF($F$3:$F483,"Mobile Money",$D$3:$D483)-SUMIF($F$3:$F483,"Mobile Money",$E$3:$E483))</f>
        <v/>
      </c>
    </row>
    <row r="484" customFormat="false" ht="15" hidden="false" customHeight="false" outlineLevel="0" collapsed="false">
      <c r="A484" s="2"/>
      <c r="B484" s="4"/>
      <c r="C484" s="4"/>
      <c r="D484" s="5"/>
      <c r="E484" s="5"/>
      <c r="F484" s="4"/>
      <c r="G484" s="7" t="str">
        <f aca="false">IF(AND($D484="",$E484=""),"",$G$2+SUMIF($F$3:$F484,"Espèces",$D$3:$D484)-SUMIF($F$3:$F484,"Espèces",$E$3:$E484))</f>
        <v/>
      </c>
      <c r="H484" s="7" t="str">
        <f aca="false">IF(AND($D484="",$E484=""),"",$H$2+SUMIF($F$3:$F484,"Mobile Money",$D$3:$D484)-SUMIF($F$3:$F484,"Mobile Money",$E$3:$E484))</f>
        <v/>
      </c>
    </row>
    <row r="485" customFormat="false" ht="15" hidden="false" customHeight="false" outlineLevel="0" collapsed="false">
      <c r="A485" s="2"/>
      <c r="B485" s="4"/>
      <c r="C485" s="4"/>
      <c r="D485" s="5"/>
      <c r="E485" s="5"/>
      <c r="F485" s="4"/>
      <c r="G485" s="7" t="str">
        <f aca="false">IF(AND($D485="",$E485=""),"",$G$2+SUMIF($F$3:$F485,"Espèces",$D$3:$D485)-SUMIF($F$3:$F485,"Espèces",$E$3:$E485))</f>
        <v/>
      </c>
      <c r="H485" s="7" t="str">
        <f aca="false">IF(AND($D485="",$E485=""),"",$H$2+SUMIF($F$3:$F485,"Mobile Money",$D$3:$D485)-SUMIF($F$3:$F485,"Mobile Money",$E$3:$E485))</f>
        <v/>
      </c>
    </row>
    <row r="486" customFormat="false" ht="15" hidden="false" customHeight="false" outlineLevel="0" collapsed="false">
      <c r="A486" s="2"/>
      <c r="B486" s="4"/>
      <c r="C486" s="4"/>
      <c r="D486" s="5"/>
      <c r="E486" s="5"/>
      <c r="F486" s="4"/>
      <c r="G486" s="7" t="str">
        <f aca="false">IF(AND($D486="",$E486=""),"",$G$2+SUMIF($F$3:$F486,"Espèces",$D$3:$D486)-SUMIF($F$3:$F486,"Espèces",$E$3:$E486))</f>
        <v/>
      </c>
      <c r="H486" s="7" t="str">
        <f aca="false">IF(AND($D486="",$E486=""),"",$H$2+SUMIF($F$3:$F486,"Mobile Money",$D$3:$D486)-SUMIF($F$3:$F486,"Mobile Money",$E$3:$E486))</f>
        <v/>
      </c>
    </row>
    <row r="487" customFormat="false" ht="15" hidden="false" customHeight="false" outlineLevel="0" collapsed="false">
      <c r="A487" s="2"/>
      <c r="B487" s="4"/>
      <c r="C487" s="4"/>
      <c r="D487" s="5"/>
      <c r="E487" s="5"/>
      <c r="F487" s="4"/>
      <c r="G487" s="7" t="str">
        <f aca="false">IF(AND($D487="",$E487=""),"",$G$2+SUMIF($F$3:$F487,"Espèces",$D$3:$D487)-SUMIF($F$3:$F487,"Espèces",$E$3:$E487))</f>
        <v/>
      </c>
      <c r="H487" s="7" t="str">
        <f aca="false">IF(AND($D487="",$E487=""),"",$H$2+SUMIF($F$3:$F487,"Mobile Money",$D$3:$D487)-SUMIF($F$3:$F487,"Mobile Money",$E$3:$E487))</f>
        <v/>
      </c>
    </row>
    <row r="488" customFormat="false" ht="15" hidden="false" customHeight="false" outlineLevel="0" collapsed="false">
      <c r="A488" s="2"/>
      <c r="B488" s="4"/>
      <c r="C488" s="4"/>
      <c r="D488" s="5"/>
      <c r="E488" s="5"/>
      <c r="F488" s="4"/>
      <c r="G488" s="7" t="str">
        <f aca="false">IF(AND($D488="",$E488=""),"",$G$2+SUMIF($F$3:$F488,"Espèces",$D$3:$D488)-SUMIF($F$3:$F488,"Espèces",$E$3:$E488))</f>
        <v/>
      </c>
      <c r="H488" s="7" t="str">
        <f aca="false">IF(AND($D488="",$E488=""),"",$H$2+SUMIF($F$3:$F488,"Mobile Money",$D$3:$D488)-SUMIF($F$3:$F488,"Mobile Money",$E$3:$E488))</f>
        <v/>
      </c>
    </row>
    <row r="489" customFormat="false" ht="15" hidden="false" customHeight="false" outlineLevel="0" collapsed="false">
      <c r="A489" s="2"/>
      <c r="B489" s="4"/>
      <c r="C489" s="4"/>
      <c r="D489" s="5"/>
      <c r="E489" s="5"/>
      <c r="F489" s="4"/>
      <c r="G489" s="7" t="str">
        <f aca="false">IF(AND($D489="",$E489=""),"",$G$2+SUMIF($F$3:$F489,"Espèces",$D$3:$D489)-SUMIF($F$3:$F489,"Espèces",$E$3:$E489))</f>
        <v/>
      </c>
      <c r="H489" s="7" t="str">
        <f aca="false">IF(AND($D489="",$E489=""),"",$H$2+SUMIF($F$3:$F489,"Mobile Money",$D$3:$D489)-SUMIF($F$3:$F489,"Mobile Money",$E$3:$E489))</f>
        <v/>
      </c>
    </row>
    <row r="490" customFormat="false" ht="15" hidden="false" customHeight="false" outlineLevel="0" collapsed="false">
      <c r="A490" s="2"/>
      <c r="B490" s="4"/>
      <c r="C490" s="4"/>
      <c r="D490" s="5"/>
      <c r="E490" s="5"/>
      <c r="F490" s="4"/>
      <c r="G490" s="7" t="str">
        <f aca="false">IF(AND($D490="",$E490=""),"",$G$2+SUMIF($F$3:$F490,"Espèces",$D$3:$D490)-SUMIF($F$3:$F490,"Espèces",$E$3:$E490))</f>
        <v/>
      </c>
      <c r="H490" s="7" t="str">
        <f aca="false">IF(AND($D490="",$E490=""),"",$H$2+SUMIF($F$3:$F490,"Mobile Money",$D$3:$D490)-SUMIF($F$3:$F490,"Mobile Money",$E$3:$E490))</f>
        <v/>
      </c>
    </row>
    <row r="491" customFormat="false" ht="15" hidden="false" customHeight="false" outlineLevel="0" collapsed="false">
      <c r="A491" s="2"/>
      <c r="B491" s="4"/>
      <c r="C491" s="4"/>
      <c r="D491" s="5"/>
      <c r="E491" s="5"/>
      <c r="F491" s="4"/>
      <c r="G491" s="7" t="str">
        <f aca="false">IF(AND($D491="",$E491=""),"",$G$2+SUMIF($F$3:$F491,"Espèces",$D$3:$D491)-SUMIF($F$3:$F491,"Espèces",$E$3:$E491))</f>
        <v/>
      </c>
      <c r="H491" s="7" t="str">
        <f aca="false">IF(AND($D491="",$E491=""),"",$H$2+SUMIF($F$3:$F491,"Mobile Money",$D$3:$D491)-SUMIF($F$3:$F491,"Mobile Money",$E$3:$E491))</f>
        <v/>
      </c>
    </row>
    <row r="492" customFormat="false" ht="15" hidden="false" customHeight="false" outlineLevel="0" collapsed="false">
      <c r="A492" s="2"/>
      <c r="B492" s="4"/>
      <c r="C492" s="4"/>
      <c r="D492" s="5"/>
      <c r="E492" s="5"/>
      <c r="F492" s="4"/>
      <c r="G492" s="7" t="str">
        <f aca="false">IF(AND($D492="",$E492=""),"",$G$2+SUMIF($F$3:$F492,"Espèces",$D$3:$D492)-SUMIF($F$3:$F492,"Espèces",$E$3:$E492))</f>
        <v/>
      </c>
      <c r="H492" s="7" t="str">
        <f aca="false">IF(AND($D492="",$E492=""),"",$H$2+SUMIF($F$3:$F492,"Mobile Money",$D$3:$D492)-SUMIF($F$3:$F492,"Mobile Money",$E$3:$E492))</f>
        <v/>
      </c>
    </row>
    <row r="493" customFormat="false" ht="15" hidden="false" customHeight="false" outlineLevel="0" collapsed="false">
      <c r="A493" s="2"/>
      <c r="B493" s="4"/>
      <c r="C493" s="4"/>
      <c r="D493" s="5"/>
      <c r="E493" s="5"/>
      <c r="F493" s="4"/>
      <c r="G493" s="7" t="str">
        <f aca="false">IF(AND($D493="",$E493=""),"",$G$2+SUMIF($F$3:$F493,"Espèces",$D$3:$D493)-SUMIF($F$3:$F493,"Espèces",$E$3:$E493))</f>
        <v/>
      </c>
      <c r="H493" s="7" t="str">
        <f aca="false">IF(AND($D493="",$E493=""),"",$H$2+SUMIF($F$3:$F493,"Mobile Money",$D$3:$D493)-SUMIF($F$3:$F493,"Mobile Money",$E$3:$E493))</f>
        <v/>
      </c>
    </row>
    <row r="494" customFormat="false" ht="15" hidden="false" customHeight="false" outlineLevel="0" collapsed="false">
      <c r="A494" s="2"/>
      <c r="B494" s="4"/>
      <c r="C494" s="4"/>
      <c r="D494" s="5"/>
      <c r="E494" s="5"/>
      <c r="F494" s="4"/>
      <c r="G494" s="7" t="str">
        <f aca="false">IF(AND($D494="",$E494=""),"",$G$2+SUMIF($F$3:$F494,"Espèces",$D$3:$D494)-SUMIF($F$3:$F494,"Espèces",$E$3:$E494))</f>
        <v/>
      </c>
      <c r="H494" s="7" t="str">
        <f aca="false">IF(AND($D494="",$E494=""),"",$H$2+SUMIF($F$3:$F494,"Mobile Money",$D$3:$D494)-SUMIF($F$3:$F494,"Mobile Money",$E$3:$E494))</f>
        <v/>
      </c>
    </row>
    <row r="495" customFormat="false" ht="15" hidden="false" customHeight="false" outlineLevel="0" collapsed="false">
      <c r="A495" s="2"/>
      <c r="B495" s="4"/>
      <c r="C495" s="4"/>
      <c r="D495" s="5"/>
      <c r="E495" s="5"/>
      <c r="F495" s="4"/>
      <c r="G495" s="7" t="str">
        <f aca="false">IF(AND($D495="",$E495=""),"",$G$2+SUMIF($F$3:$F495,"Espèces",$D$3:$D495)-SUMIF($F$3:$F495,"Espèces",$E$3:$E495))</f>
        <v/>
      </c>
      <c r="H495" s="7" t="str">
        <f aca="false">IF(AND($D495="",$E495=""),"",$H$2+SUMIF($F$3:$F495,"Mobile Money",$D$3:$D495)-SUMIF($F$3:$F495,"Mobile Money",$E$3:$E495))</f>
        <v/>
      </c>
    </row>
    <row r="496" customFormat="false" ht="15" hidden="false" customHeight="false" outlineLevel="0" collapsed="false">
      <c r="A496" s="2"/>
      <c r="B496" s="4"/>
      <c r="C496" s="4"/>
      <c r="D496" s="5"/>
      <c r="E496" s="5"/>
      <c r="F496" s="4"/>
      <c r="G496" s="7" t="str">
        <f aca="false">IF(AND($D496="",$E496=""),"",$G$2+SUMIF($F$3:$F496,"Espèces",$D$3:$D496)-SUMIF($F$3:$F496,"Espèces",$E$3:$E496))</f>
        <v/>
      </c>
      <c r="H496" s="7" t="str">
        <f aca="false">IF(AND($D496="",$E496=""),"",$H$2+SUMIF($F$3:$F496,"Mobile Money",$D$3:$D496)-SUMIF($F$3:$F496,"Mobile Money",$E$3:$E496))</f>
        <v/>
      </c>
    </row>
    <row r="497" customFormat="false" ht="15" hidden="false" customHeight="false" outlineLevel="0" collapsed="false">
      <c r="A497" s="2"/>
      <c r="B497" s="4"/>
      <c r="C497" s="4"/>
      <c r="D497" s="5"/>
      <c r="E497" s="5"/>
      <c r="F497" s="4"/>
      <c r="G497" s="7" t="str">
        <f aca="false">IF(AND($D497="",$E497=""),"",$G$2+SUMIF($F$3:$F497,"Espèces",$D$3:$D497)-SUMIF($F$3:$F497,"Espèces",$E$3:$E497))</f>
        <v/>
      </c>
      <c r="H497" s="7" t="str">
        <f aca="false">IF(AND($D497="",$E497=""),"",$H$2+SUMIF($F$3:$F497,"Mobile Money",$D$3:$D497)-SUMIF($F$3:$F497,"Mobile Money",$E$3:$E497))</f>
        <v/>
      </c>
    </row>
    <row r="498" customFormat="false" ht="15" hidden="false" customHeight="false" outlineLevel="0" collapsed="false">
      <c r="A498" s="2"/>
      <c r="B498" s="4"/>
      <c r="C498" s="4"/>
      <c r="D498" s="5"/>
      <c r="E498" s="5"/>
      <c r="F498" s="4"/>
      <c r="G498" s="7" t="str">
        <f aca="false">IF(AND($D498="",$E498=""),"",$G$2+SUMIF($F$3:$F498,"Espèces",$D$3:$D498)-SUMIF($F$3:$F498,"Espèces",$E$3:$E498))</f>
        <v/>
      </c>
      <c r="H498" s="7" t="str">
        <f aca="false">IF(AND($D498="",$E498=""),"",$H$2+SUMIF($F$3:$F498,"Mobile Money",$D$3:$D498)-SUMIF($F$3:$F498,"Mobile Money",$E$3:$E498))</f>
        <v/>
      </c>
    </row>
    <row r="499" customFormat="false" ht="15" hidden="false" customHeight="false" outlineLevel="0" collapsed="false">
      <c r="A499" s="2"/>
      <c r="B499" s="4"/>
      <c r="C499" s="4"/>
      <c r="D499" s="5"/>
      <c r="E499" s="5"/>
      <c r="F499" s="4"/>
      <c r="G499" s="7" t="str">
        <f aca="false">IF(AND($D499="",$E499=""),"",$G$2+SUMIF($F$3:$F499,"Espèces",$D$3:$D499)-SUMIF($F$3:$F499,"Espèces",$E$3:$E499))</f>
        <v/>
      </c>
      <c r="H499" s="7" t="str">
        <f aca="false">IF(AND($D499="",$E499=""),"",$H$2+SUMIF($F$3:$F499,"Mobile Money",$D$3:$D499)-SUMIF($F$3:$F499,"Mobile Money",$E$3:$E499))</f>
        <v/>
      </c>
    </row>
    <row r="500" customFormat="false" ht="15" hidden="false" customHeight="false" outlineLevel="0" collapsed="false">
      <c r="A500" s="2"/>
      <c r="B500" s="4"/>
      <c r="C500" s="4"/>
      <c r="D500" s="5"/>
      <c r="E500" s="5"/>
      <c r="F500" s="4"/>
      <c r="G500" s="7" t="str">
        <f aca="false">IF(AND($D500="",$E500=""),"",$G$2+SUMIF($F$3:$F500,"Espèces",$D$3:$D500)-SUMIF($F$3:$F500,"Espèces",$E$3:$E500))</f>
        <v/>
      </c>
      <c r="H500" s="7" t="str">
        <f aca="false">IF(AND($D500="",$E500=""),"",$H$2+SUMIF($F$3:$F500,"Mobile Money",$D$3:$D500)-SUMIF($F$3:$F500,"Mobile Money",$E$3:$E500))</f>
        <v/>
      </c>
    </row>
    <row r="501" customFormat="false" ht="15" hidden="false" customHeight="false" outlineLevel="0" collapsed="false">
      <c r="A501" s="2"/>
      <c r="B501" s="4"/>
      <c r="C501" s="4"/>
      <c r="D501" s="5"/>
      <c r="E501" s="5"/>
      <c r="F501" s="4"/>
      <c r="G501" s="7" t="str">
        <f aca="false">IF(AND($D501="",$E501=""),"",$G$2+SUMIF($F$3:$F501,"Espèces",$D$3:$D501)-SUMIF($F$3:$F501,"Espèces",$E$3:$E501))</f>
        <v/>
      </c>
      <c r="H501" s="7" t="str">
        <f aca="false">IF(AND($D501="",$E501=""),"",$H$2+SUMIF($F$3:$F501,"Mobile Money",$D$3:$D501)-SUMIF($F$3:$F501,"Mobile Money",$E$3:$E501))</f>
        <v/>
      </c>
    </row>
    <row r="502" customFormat="false" ht="15" hidden="false" customHeight="false" outlineLevel="0" collapsed="false">
      <c r="A502" s="2"/>
      <c r="B502" s="4"/>
      <c r="C502" s="4"/>
      <c r="D502" s="5"/>
      <c r="E502" s="5"/>
      <c r="F502" s="4"/>
      <c r="G502" s="7" t="str">
        <f aca="false">IF(AND($D502="",$E502=""),"",$G$2+SUMIF($F$3:$F502,"Espèces",$D$3:$D502)-SUMIF($F$3:$F502,"Espèces",$E$3:$E502))</f>
        <v/>
      </c>
      <c r="H502" s="7" t="str">
        <f aca="false">IF(AND($D502="",$E502=""),"",$H$2+SUMIF($F$3:$F502,"Mobile Money",$D$3:$D502)-SUMIF($F$3:$F502,"Mobile Money",$E$3:$E502))</f>
        <v/>
      </c>
    </row>
  </sheetData>
  <conditionalFormatting sqref="D3:E502">
    <cfRule type="expression" priority="2" aboveAverage="0" equalAverage="0" bottom="0" percent="0" rank="0" text="" dxfId="0">
      <formula>AND(D3&lt;&gt;"",NOT(ISNUMBER(D3)))</formula>
    </cfRule>
  </conditionalFormatting>
  <conditionalFormatting sqref="A3:A502">
    <cfRule type="expression" priority="3" aboveAverage="0" equalAverage="0" bottom="0" percent="0" rank="0" text="" dxfId="0">
      <formula>AND($A3&lt;&gt;"",NOT(ISNUMBER($A3)))</formula>
    </cfRule>
  </conditionalFormatting>
  <conditionalFormatting sqref="F3:F502">
    <cfRule type="expression" priority="4" aboveAverage="0" equalAverage="0" bottom="0" percent="0" rank="0" text="" dxfId="0">
      <formula>AND(OR($D3&lt;&gt;"",$E3&lt;&gt;""),$F3="")</formula>
    </cfRule>
  </conditionalFormatting>
  <dataValidations count="2">
    <dataValidation allowBlank="true" error="Choisissez une catégorie dans la liste." errorStyle="stop" errorTitle="Catégorie" operator="between" showDropDown="false" showErrorMessage="false" showInputMessage="false" sqref="C3:C502" type="list">
      <formula1>Mois!$A$11:$A$21</formula1>
      <formula2>0</formula2>
    </dataValidation>
    <dataValidation allowBlank="true" error="Choisissez Espèces ou Mobile Money." errorStyle="stop" errorTitle="Moyen" operator="between" showDropDown="false" showErrorMessage="false" showInputMessage="false" sqref="F3:F502" type="list">
      <formula1>"Espèces,Mobile Money"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3" min="2" style="0" width="16"/>
    <col collapsed="false" customWidth="true" hidden="false" outlineLevel="0" max="4" min="4" style="0" width="44"/>
  </cols>
  <sheetData>
    <row r="1" customFormat="false" ht="17.35" hidden="false" customHeight="false" outlineLevel="0" collapsed="false">
      <c r="A1" s="8" t="s">
        <v>9</v>
      </c>
    </row>
    <row r="3" customFormat="false" ht="43.5" hidden="false" customHeight="true" outlineLevel="0" collapsed="false">
      <c r="A3" s="9" t="s">
        <v>10</v>
      </c>
      <c r="B3" s="10"/>
      <c r="D3" s="11" t="s">
        <v>11</v>
      </c>
    </row>
    <row r="5" customFormat="false" ht="15" hidden="false" customHeight="true" outlineLevel="0" collapsed="false">
      <c r="A5" s="12" t="s">
        <v>12</v>
      </c>
      <c r="B5" s="13" t="n">
        <f aca="false">IF($B$3="",SUM(Cahier!$D$3:$D$502),SUMIFS(Cahier!$D$3:$D$502,Cahier!$A$3:$A$502,"&gt;="&amp;$B$3,Cahier!$A$3:$A$502,"&lt;"&amp;EDATE($B$3,1)))-B19</f>
        <v>0</v>
      </c>
      <c r="D5" s="14" t="s">
        <v>13</v>
      </c>
    </row>
    <row r="6" customFormat="false" ht="15" hidden="false" customHeight="false" outlineLevel="0" collapsed="false">
      <c r="A6" s="12" t="s">
        <v>14</v>
      </c>
      <c r="B6" s="13" t="n">
        <f aca="false">IF($B$3="",SUM(Cahier!$E$3:$E$502),SUMIFS(Cahier!$E$3:$E$502,Cahier!$A$3:$A$502,"&gt;="&amp;$B$3,Cahier!$A$3:$A$502,"&lt;"&amp;EDATE($B$3,1)))-C19</f>
        <v>0</v>
      </c>
      <c r="D6" s="14"/>
    </row>
    <row r="7" customFormat="false" ht="15" hidden="false" customHeight="false" outlineLevel="0" collapsed="false">
      <c r="A7" s="12" t="s">
        <v>15</v>
      </c>
      <c r="B7" s="13" t="n">
        <f aca="false">B5-B6</f>
        <v>0</v>
      </c>
      <c r="D7" s="14"/>
    </row>
    <row r="10" customFormat="false" ht="15" hidden="false" customHeight="false" outlineLevel="0" collapsed="false">
      <c r="A10" s="15" t="s">
        <v>2</v>
      </c>
      <c r="B10" s="15" t="s">
        <v>16</v>
      </c>
      <c r="C10" s="15" t="s">
        <v>17</v>
      </c>
    </row>
    <row r="11" customFormat="false" ht="15" hidden="false" customHeight="false" outlineLevel="0" collapsed="false">
      <c r="A11" s="16" t="s">
        <v>18</v>
      </c>
      <c r="B11" s="17" t="n">
        <f aca="false">IF($B$3="",SUMIF(Cahier!$C$3:$C$502,$A11,Cahier!$D$3:$D$502),SUMIFS(Cahier!$D$3:$D$502,Cahier!$C$3:$C$502,$A11,Cahier!$A$3:$A$502,"&gt;="&amp;$B$3,Cahier!$A$3:$A$502,"&lt;"&amp;EDATE($B$3,1)))</f>
        <v>0</v>
      </c>
      <c r="C11" s="17" t="n">
        <f aca="false">IF($B$3="",SUMIF(Cahier!$C$3:$C$502,$A11,Cahier!$E$3:$E$502),SUMIFS(Cahier!$E$3:$E$502,Cahier!$C$3:$C$502,$A11,Cahier!$A$3:$A$502,"&gt;="&amp;$B$3,Cahier!$A$3:$A$502,"&lt;"&amp;EDATE($B$3,1)))</f>
        <v>0</v>
      </c>
    </row>
    <row r="12" customFormat="false" ht="15" hidden="false" customHeight="false" outlineLevel="0" collapsed="false">
      <c r="A12" s="16" t="s">
        <v>19</v>
      </c>
      <c r="B12" s="17" t="n">
        <f aca="false">IF($B$3="",SUMIF(Cahier!$C$3:$C$502,$A12,Cahier!$D$3:$D$502),SUMIFS(Cahier!$D$3:$D$502,Cahier!$C$3:$C$502,$A12,Cahier!$A$3:$A$502,"&gt;="&amp;$B$3,Cahier!$A$3:$A$502,"&lt;"&amp;EDATE($B$3,1)))</f>
        <v>0</v>
      </c>
      <c r="C12" s="17" t="n">
        <f aca="false">IF($B$3="",SUMIF(Cahier!$C$3:$C$502,$A12,Cahier!$E$3:$E$502),SUMIFS(Cahier!$E$3:$E$502,Cahier!$C$3:$C$502,$A12,Cahier!$A$3:$A$502,"&gt;="&amp;$B$3,Cahier!$A$3:$A$502,"&lt;"&amp;EDATE($B$3,1)))</f>
        <v>0</v>
      </c>
    </row>
    <row r="13" customFormat="false" ht="15" hidden="false" customHeight="false" outlineLevel="0" collapsed="false">
      <c r="A13" s="16" t="s">
        <v>20</v>
      </c>
      <c r="B13" s="17" t="n">
        <f aca="false">IF($B$3="",SUMIF(Cahier!$C$3:$C$502,$A13,Cahier!$D$3:$D$502),SUMIFS(Cahier!$D$3:$D$502,Cahier!$C$3:$C$502,$A13,Cahier!$A$3:$A$502,"&gt;="&amp;$B$3,Cahier!$A$3:$A$502,"&lt;"&amp;EDATE($B$3,1)))</f>
        <v>0</v>
      </c>
      <c r="C13" s="17" t="n">
        <f aca="false">IF($B$3="",SUMIF(Cahier!$C$3:$C$502,$A13,Cahier!$E$3:$E$502),SUMIFS(Cahier!$E$3:$E$502,Cahier!$C$3:$C$502,$A13,Cahier!$A$3:$A$502,"&gt;="&amp;$B$3,Cahier!$A$3:$A$502,"&lt;"&amp;EDATE($B$3,1)))</f>
        <v>0</v>
      </c>
    </row>
    <row r="14" customFormat="false" ht="15" hidden="false" customHeight="false" outlineLevel="0" collapsed="false">
      <c r="A14" s="16" t="s">
        <v>21</v>
      </c>
      <c r="B14" s="17" t="n">
        <f aca="false">IF($B$3="",SUMIF(Cahier!$C$3:$C$502,$A14,Cahier!$D$3:$D$502),SUMIFS(Cahier!$D$3:$D$502,Cahier!$C$3:$C$502,$A14,Cahier!$A$3:$A$502,"&gt;="&amp;$B$3,Cahier!$A$3:$A$502,"&lt;"&amp;EDATE($B$3,1)))</f>
        <v>0</v>
      </c>
      <c r="C14" s="17" t="n">
        <f aca="false">IF($B$3="",SUMIF(Cahier!$C$3:$C$502,$A14,Cahier!$E$3:$E$502),SUMIFS(Cahier!$E$3:$E$502,Cahier!$C$3:$C$502,$A14,Cahier!$A$3:$A$502,"&gt;="&amp;$B$3,Cahier!$A$3:$A$502,"&lt;"&amp;EDATE($B$3,1)))</f>
        <v>0</v>
      </c>
    </row>
    <row r="15" customFormat="false" ht="15" hidden="false" customHeight="false" outlineLevel="0" collapsed="false">
      <c r="A15" s="16" t="s">
        <v>22</v>
      </c>
      <c r="B15" s="17" t="n">
        <f aca="false">IF($B$3="",SUMIF(Cahier!$C$3:$C$502,$A15,Cahier!$D$3:$D$502),SUMIFS(Cahier!$D$3:$D$502,Cahier!$C$3:$C$502,$A15,Cahier!$A$3:$A$502,"&gt;="&amp;$B$3,Cahier!$A$3:$A$502,"&lt;"&amp;EDATE($B$3,1)))</f>
        <v>0</v>
      </c>
      <c r="C15" s="17" t="n">
        <f aca="false">IF($B$3="",SUMIF(Cahier!$C$3:$C$502,$A15,Cahier!$E$3:$E$502),SUMIFS(Cahier!$E$3:$E$502,Cahier!$C$3:$C$502,$A15,Cahier!$A$3:$A$502,"&gt;="&amp;$B$3,Cahier!$A$3:$A$502,"&lt;"&amp;EDATE($B$3,1)))</f>
        <v>0</v>
      </c>
    </row>
    <row r="16" customFormat="false" ht="15" hidden="false" customHeight="false" outlineLevel="0" collapsed="false">
      <c r="A16" s="16" t="s">
        <v>23</v>
      </c>
      <c r="B16" s="17" t="n">
        <f aca="false">IF($B$3="",SUMIF(Cahier!$C$3:$C$502,$A16,Cahier!$D$3:$D$502),SUMIFS(Cahier!$D$3:$D$502,Cahier!$C$3:$C$502,$A16,Cahier!$A$3:$A$502,"&gt;="&amp;$B$3,Cahier!$A$3:$A$502,"&lt;"&amp;EDATE($B$3,1)))</f>
        <v>0</v>
      </c>
      <c r="C16" s="17" t="n">
        <f aca="false">IF($B$3="",SUMIF(Cahier!$C$3:$C$502,$A16,Cahier!$E$3:$E$502),SUMIFS(Cahier!$E$3:$E$502,Cahier!$C$3:$C$502,$A16,Cahier!$A$3:$A$502,"&gt;="&amp;$B$3,Cahier!$A$3:$A$502,"&lt;"&amp;EDATE($B$3,1)))</f>
        <v>0</v>
      </c>
    </row>
    <row r="17" customFormat="false" ht="15" hidden="false" customHeight="false" outlineLevel="0" collapsed="false">
      <c r="A17" s="16" t="s">
        <v>24</v>
      </c>
      <c r="B17" s="17" t="n">
        <f aca="false">IF($B$3="",SUMIF(Cahier!$C$3:$C$502,$A17,Cahier!$D$3:$D$502),SUMIFS(Cahier!$D$3:$D$502,Cahier!$C$3:$C$502,$A17,Cahier!$A$3:$A$502,"&gt;="&amp;$B$3,Cahier!$A$3:$A$502,"&lt;"&amp;EDATE($B$3,1)))</f>
        <v>0</v>
      </c>
      <c r="C17" s="17" t="n">
        <f aca="false">IF($B$3="",SUMIF(Cahier!$C$3:$C$502,$A17,Cahier!$E$3:$E$502),SUMIFS(Cahier!$E$3:$E$502,Cahier!$C$3:$C$502,$A17,Cahier!$A$3:$A$502,"&gt;="&amp;$B$3,Cahier!$A$3:$A$502,"&lt;"&amp;EDATE($B$3,1)))</f>
        <v>0</v>
      </c>
    </row>
    <row r="18" customFormat="false" ht="15" hidden="false" customHeight="false" outlineLevel="0" collapsed="false">
      <c r="A18" s="16" t="s">
        <v>25</v>
      </c>
      <c r="B18" s="17" t="n">
        <f aca="false">IF($B$3="",SUMIF(Cahier!$C$3:$C$502,$A18,Cahier!$D$3:$D$502),SUMIFS(Cahier!$D$3:$D$502,Cahier!$C$3:$C$502,$A18,Cahier!$A$3:$A$502,"&gt;="&amp;$B$3,Cahier!$A$3:$A$502,"&lt;"&amp;EDATE($B$3,1)))</f>
        <v>0</v>
      </c>
      <c r="C18" s="17" t="n">
        <f aca="false">IF($B$3="",SUMIF(Cahier!$C$3:$C$502,$A18,Cahier!$E$3:$E$502),SUMIFS(Cahier!$E$3:$E$502,Cahier!$C$3:$C$502,$A18,Cahier!$A$3:$A$502,"&gt;="&amp;$B$3,Cahier!$A$3:$A$502,"&lt;"&amp;EDATE($B$3,1)))</f>
        <v>0</v>
      </c>
    </row>
    <row r="19" customFormat="false" ht="15" hidden="false" customHeight="false" outlineLevel="0" collapsed="false">
      <c r="A19" s="16" t="s">
        <v>26</v>
      </c>
      <c r="B19" s="17" t="n">
        <f aca="false">IF($B$3="",SUMIF(Cahier!$C$3:$C$502,$A19,Cahier!$D$3:$D$502),SUMIFS(Cahier!$D$3:$D$502,Cahier!$C$3:$C$502,$A19,Cahier!$A$3:$A$502,"&gt;="&amp;$B$3,Cahier!$A$3:$A$502,"&lt;"&amp;EDATE($B$3,1)))</f>
        <v>0</v>
      </c>
      <c r="C19" s="17" t="n">
        <f aca="false">IF($B$3="",SUMIF(Cahier!$C$3:$C$502,$A19,Cahier!$E$3:$E$502),SUMIFS(Cahier!$E$3:$E$502,Cahier!$C$3:$C$502,$A19,Cahier!$A$3:$A$502,"&gt;="&amp;$B$3,Cahier!$A$3:$A$502,"&lt;"&amp;EDATE($B$3,1)))</f>
        <v>0</v>
      </c>
    </row>
    <row r="20" customFormat="false" ht="15" hidden="false" customHeight="false" outlineLevel="0" collapsed="false">
      <c r="A20" s="16" t="s">
        <v>27</v>
      </c>
      <c r="B20" s="17" t="n">
        <f aca="false">IF($B$3="",SUMIF(Cahier!$C$3:$C$502,$A20,Cahier!$D$3:$D$502),SUMIFS(Cahier!$D$3:$D$502,Cahier!$C$3:$C$502,$A20,Cahier!$A$3:$A$502,"&gt;="&amp;$B$3,Cahier!$A$3:$A$502,"&lt;"&amp;EDATE($B$3,1)))</f>
        <v>0</v>
      </c>
      <c r="C20" s="17" t="n">
        <f aca="false">IF($B$3="",SUMIF(Cahier!$C$3:$C$502,$A20,Cahier!$E$3:$E$502),SUMIFS(Cahier!$E$3:$E$502,Cahier!$C$3:$C$502,$A20,Cahier!$A$3:$A$502,"&gt;="&amp;$B$3,Cahier!$A$3:$A$502,"&lt;"&amp;EDATE($B$3,1)))</f>
        <v>0</v>
      </c>
    </row>
    <row r="21" customFormat="false" ht="15" hidden="false" customHeight="false" outlineLevel="0" collapsed="false">
      <c r="A21" s="16" t="s">
        <v>28</v>
      </c>
      <c r="B21" s="17" t="n">
        <f aca="false">IF($B$3="",SUMIF(Cahier!$C$3:$C$502,$A21,Cahier!$D$3:$D$502),SUMIFS(Cahier!$D$3:$D$502,Cahier!$C$3:$C$502,$A21,Cahier!$A$3:$A$502,"&gt;="&amp;$B$3,Cahier!$A$3:$A$502,"&lt;"&amp;EDATE($B$3,1)))</f>
        <v>0</v>
      </c>
      <c r="C21" s="17" t="n">
        <f aca="false">IF($B$3="",SUMIF(Cahier!$C$3:$C$502,$A21,Cahier!$E$3:$E$502),SUMIFS(Cahier!$E$3:$E$502,Cahier!$C$3:$C$502,$A21,Cahier!$A$3:$A$502,"&gt;="&amp;$B$3,Cahier!$A$3:$A$502,"&lt;"&amp;EDATE($B$3,1)))</f>
        <v>0</v>
      </c>
    </row>
    <row r="22" customFormat="false" ht="31.5" hidden="false" customHeight="true" outlineLevel="0" collapsed="false">
      <c r="A22" s="18" t="s">
        <v>29</v>
      </c>
      <c r="B22" s="17" t="n">
        <f aca="false">IF($B$3="",SUM(Cahier!$D$3:$D$502),SUMIFS(Cahier!$D$3:$D$502,Cahier!$A$3:$A$502,"&gt;="&amp;$B$3,Cahier!$A$3:$A$502,"&lt;"&amp;EDATE($B$3,1)))-SUM(B11:B21)</f>
        <v>0</v>
      </c>
      <c r="C22" s="17" t="n">
        <f aca="false">IF($B$3="",SUM(Cahier!$E$3:$E$502),SUMIFS(Cahier!$E$3:$E$502,Cahier!$A$3:$A$502,"&gt;="&amp;$B$3,Cahier!$A$3:$A$502,"&lt;"&amp;EDATE($B$3,1)))-SUM(C11:C21)</f>
        <v>0</v>
      </c>
      <c r="D22" s="11" t="s">
        <v>30</v>
      </c>
    </row>
    <row r="24" customFormat="false" ht="15" hidden="false" customHeight="false" outlineLevel="0" collapsed="false">
      <c r="A24" s="19" t="s">
        <v>31</v>
      </c>
    </row>
    <row r="25" customFormat="false" ht="15" hidden="false" customHeight="false" outlineLevel="0" collapsed="false">
      <c r="A25" s="15" t="s">
        <v>5</v>
      </c>
      <c r="B25" s="15" t="s">
        <v>16</v>
      </c>
      <c r="C25" s="15" t="s">
        <v>32</v>
      </c>
    </row>
    <row r="26" customFormat="false" ht="15" hidden="false" customHeight="false" outlineLevel="0" collapsed="false">
      <c r="A26" s="16" t="s">
        <v>33</v>
      </c>
      <c r="B26" s="17" t="n">
        <f aca="false">IF($B$3="",SUMIF(Cahier!$F$3:$F$502,"Espèces",Cahier!$D$3:$D$502)-SUMIFS(Cahier!$D$3:$D$502,Cahier!$F$3:$F$502,"Espèces",Cahier!$C$3:$C$502,"Dépôt ou retrait de Mobile Money"),SUMIFS(Cahier!$D$3:$D$502,Cahier!$F$3:$F$502,"Espèces",Cahier!$A$3:$A$502,"&gt;="&amp;$B$3,Cahier!$A$3:$A$502,"&lt;"&amp;EDATE($B$3,1))-SUMIFS(Cahier!$D$3:$D$502,Cahier!$F$3:$F$502,"Espèces",Cahier!$C$3:$C$502,"Dépôt ou retrait de Mobile Money",Cahier!$A$3:$A$502,"&gt;="&amp;$B$3,Cahier!$A$3:$A$502,"&lt;"&amp;EDATE($B$3,1)))</f>
        <v>0</v>
      </c>
      <c r="C26" s="20" t="str">
        <f aca="false">IF($B$5=0,"",B26/$B$5)</f>
        <v/>
      </c>
    </row>
    <row r="27" customFormat="false" ht="15" hidden="false" customHeight="false" outlineLevel="0" collapsed="false">
      <c r="A27" s="16" t="s">
        <v>34</v>
      </c>
      <c r="B27" s="17" t="n">
        <f aca="false">IF($B$3="",SUMIF(Cahier!$F$3:$F$502,"Mobile Money",Cahier!$D$3:$D$502)-SUMIFS(Cahier!$D$3:$D$502,Cahier!$F$3:$F$502,"Mobile Money",Cahier!$C$3:$C$502,"Dépôt ou retrait de Mobile Money"),SUMIFS(Cahier!$D$3:$D$502,Cahier!$F$3:$F$502,"Mobile Money",Cahier!$A$3:$A$502,"&gt;="&amp;$B$3,Cahier!$A$3:$A$502,"&lt;"&amp;EDATE($B$3,1))-SUMIFS(Cahier!$D$3:$D$502,Cahier!$F$3:$F$502,"Mobile Money",Cahier!$C$3:$C$502,"Dépôt ou retrait de Mobile Money",Cahier!$A$3:$A$502,"&gt;="&amp;$B$3,Cahier!$A$3:$A$502,"&lt;"&amp;EDATE($B$3,1)))</f>
        <v>0</v>
      </c>
      <c r="C27" s="20" t="str">
        <f aca="false">IF($B$5=0,"",B27/$B$5)</f>
        <v/>
      </c>
    </row>
    <row r="28" customFormat="false" ht="15" hidden="false" customHeight="false" outlineLevel="0" collapsed="false">
      <c r="A28" s="18" t="s">
        <v>35</v>
      </c>
      <c r="B28" s="17" t="n">
        <f aca="false">$B$5-B26-B27</f>
        <v>0</v>
      </c>
      <c r="C28" s="20" t="str">
        <f aca="false">IF($B$5=0,"",B28/$B$5)</f>
        <v/>
      </c>
    </row>
  </sheetData>
  <mergeCells count="1">
    <mergeCell ref="D5:D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0"/>
    <col collapsed="false" customWidth="true" hidden="false" outlineLevel="0" max="3" min="3" style="0" width="26"/>
    <col collapsed="false" customWidth="true" hidden="false" outlineLevel="0" max="5" min="4" style="0" width="12"/>
    <col collapsed="false" customWidth="true" hidden="false" outlineLevel="0" max="7" min="6" style="0" width="16"/>
    <col collapsed="false" customWidth="true" hidden="false" outlineLevel="0" max="8" min="8" style="0" width="18"/>
  </cols>
  <sheetData>
    <row r="1" customFormat="false" ht="15.75" hidden="false" customHeight="true" outlineLevel="0" collapsed="false">
      <c r="A1" s="21" t="s">
        <v>36</v>
      </c>
      <c r="B1" s="21"/>
      <c r="C1" s="21"/>
      <c r="D1" s="21"/>
      <c r="E1" s="21"/>
      <c r="F1" s="21"/>
      <c r="G1" s="21"/>
      <c r="H1" s="21"/>
    </row>
    <row r="2" customFormat="false" ht="15.75" hidden="false" customHeight="true" outlineLevel="0" collapsed="false">
      <c r="A2" s="22"/>
      <c r="B2" s="22"/>
      <c r="C2" s="22"/>
      <c r="D2" s="22"/>
      <c r="E2" s="22"/>
      <c r="F2" s="22"/>
      <c r="G2" s="22"/>
      <c r="H2" s="22"/>
    </row>
    <row r="3" customFormat="false" ht="15.75" hidden="false" customHeight="true" outlineLevel="0" collapsed="false">
      <c r="A3" s="23" t="s">
        <v>37</v>
      </c>
      <c r="B3" s="23"/>
      <c r="C3" s="23"/>
      <c r="D3" s="23"/>
      <c r="E3" s="23"/>
      <c r="F3" s="23"/>
      <c r="G3" s="23"/>
      <c r="H3" s="23"/>
    </row>
    <row r="4" customFormat="false" ht="31.5" hidden="false" customHeight="true" outlineLevel="0" collapsed="false">
      <c r="A4" s="24" t="s">
        <v>38</v>
      </c>
      <c r="B4" s="24"/>
      <c r="C4" s="24"/>
      <c r="D4" s="24"/>
      <c r="E4" s="24"/>
      <c r="F4" s="24"/>
      <c r="G4" s="24"/>
      <c r="H4" s="24"/>
    </row>
    <row r="5" customFormat="false" ht="31.5" hidden="false" customHeight="true" outlineLevel="0" collapsed="false">
      <c r="A5" s="24" t="s">
        <v>39</v>
      </c>
      <c r="B5" s="24"/>
      <c r="C5" s="24"/>
      <c r="D5" s="24"/>
      <c r="E5" s="24"/>
      <c r="F5" s="24"/>
      <c r="G5" s="24"/>
      <c r="H5" s="24"/>
    </row>
    <row r="6" customFormat="false" ht="31.5" hidden="false" customHeight="true" outlineLevel="0" collapsed="false">
      <c r="A6" s="24" t="s">
        <v>40</v>
      </c>
      <c r="B6" s="24"/>
      <c r="C6" s="24"/>
      <c r="D6" s="24"/>
      <c r="E6" s="24"/>
      <c r="F6" s="24"/>
      <c r="G6" s="24"/>
      <c r="H6" s="24"/>
    </row>
    <row r="7" customFormat="false" ht="31.5" hidden="false" customHeight="true" outlineLevel="0" collapsed="false">
      <c r="A7" s="24" t="s">
        <v>41</v>
      </c>
      <c r="B7" s="24"/>
      <c r="C7" s="24"/>
      <c r="D7" s="24"/>
      <c r="E7" s="24"/>
      <c r="F7" s="24"/>
      <c r="G7" s="24"/>
      <c r="H7" s="24"/>
    </row>
    <row r="8" customFormat="false" ht="31.5" hidden="false" customHeight="true" outlineLevel="0" collapsed="false">
      <c r="A8" s="24" t="s">
        <v>42</v>
      </c>
      <c r="B8" s="24"/>
      <c r="C8" s="24"/>
      <c r="D8" s="24"/>
      <c r="E8" s="24"/>
      <c r="F8" s="24"/>
      <c r="G8" s="24"/>
      <c r="H8" s="24"/>
    </row>
    <row r="9" customFormat="false" ht="31.5" hidden="false" customHeight="true" outlineLevel="0" collapsed="false">
      <c r="A9" s="24" t="s">
        <v>43</v>
      </c>
      <c r="B9" s="24"/>
      <c r="C9" s="24"/>
      <c r="D9" s="24"/>
      <c r="E9" s="24"/>
      <c r="F9" s="24"/>
      <c r="G9" s="24"/>
      <c r="H9" s="24"/>
    </row>
    <row r="10" customFormat="false" ht="15.75" hidden="false" customHeight="true" outlineLevel="0" collapsed="false">
      <c r="A10" s="24"/>
      <c r="B10" s="24"/>
      <c r="C10" s="24"/>
      <c r="D10" s="24"/>
      <c r="E10" s="24"/>
      <c r="F10" s="24"/>
      <c r="G10" s="24"/>
      <c r="H10" s="24"/>
    </row>
    <row r="11" customFormat="false" ht="15.75" hidden="false" customHeight="true" outlineLevel="0" collapsed="false">
      <c r="A11" s="23" t="s">
        <v>44</v>
      </c>
      <c r="B11" s="23"/>
      <c r="C11" s="23"/>
      <c r="D11" s="23"/>
      <c r="E11" s="23"/>
      <c r="F11" s="23"/>
      <c r="G11" s="23"/>
      <c r="H11" s="23"/>
    </row>
    <row r="12" customFormat="false" ht="15.75" hidden="false" customHeight="true" outlineLevel="0" collapsed="false">
      <c r="A12" s="24" t="s">
        <v>45</v>
      </c>
      <c r="B12" s="24"/>
      <c r="C12" s="24"/>
      <c r="D12" s="24"/>
      <c r="E12" s="24"/>
      <c r="F12" s="24"/>
      <c r="G12" s="24"/>
      <c r="H12" s="24"/>
    </row>
    <row r="13" customFormat="false" ht="15.75" hidden="false" customHeight="true" outlineLevel="0" collapsed="false">
      <c r="A13" s="24" t="s">
        <v>46</v>
      </c>
      <c r="B13" s="24"/>
      <c r="C13" s="24"/>
      <c r="D13" s="24"/>
      <c r="E13" s="24"/>
      <c r="F13" s="24"/>
      <c r="G13" s="24"/>
      <c r="H13" s="24"/>
    </row>
    <row r="14" customFormat="false" ht="31.5" hidden="false" customHeight="true" outlineLevel="0" collapsed="false">
      <c r="A14" s="24" t="s">
        <v>47</v>
      </c>
      <c r="B14" s="24"/>
      <c r="C14" s="24"/>
      <c r="D14" s="24"/>
      <c r="E14" s="24"/>
      <c r="F14" s="24"/>
      <c r="G14" s="24"/>
      <c r="H14" s="24"/>
    </row>
    <row r="15" customFormat="false" ht="15.75" hidden="false" customHeight="true" outlineLevel="0" collapsed="false">
      <c r="A15" s="24" t="s">
        <v>48</v>
      </c>
      <c r="B15" s="24"/>
      <c r="C15" s="24"/>
      <c r="D15" s="24"/>
      <c r="E15" s="24"/>
      <c r="F15" s="24"/>
      <c r="G15" s="24"/>
      <c r="H15" s="24"/>
    </row>
    <row r="16" customFormat="false" ht="31.5" hidden="false" customHeight="true" outlineLevel="0" collapsed="false">
      <c r="A16" s="24" t="s">
        <v>49</v>
      </c>
      <c r="B16" s="24"/>
      <c r="C16" s="24"/>
      <c r="D16" s="24"/>
      <c r="E16" s="24"/>
      <c r="F16" s="24"/>
      <c r="G16" s="24"/>
      <c r="H16" s="24"/>
    </row>
    <row r="17" customFormat="false" ht="15.75" hidden="false" customHeight="true" outlineLevel="0" collapsed="false">
      <c r="A17" s="24"/>
      <c r="B17" s="24"/>
      <c r="C17" s="24"/>
      <c r="D17" s="24"/>
      <c r="E17" s="24"/>
      <c r="F17" s="24"/>
      <c r="G17" s="24"/>
      <c r="H17" s="24"/>
    </row>
    <row r="18" customFormat="false" ht="15.75" hidden="false" customHeight="true" outlineLevel="0" collapsed="false">
      <c r="A18" s="23" t="s">
        <v>50</v>
      </c>
      <c r="B18" s="23"/>
      <c r="C18" s="23"/>
      <c r="D18" s="23"/>
      <c r="E18" s="23"/>
      <c r="F18" s="23"/>
      <c r="G18" s="23"/>
      <c r="H18" s="23"/>
    </row>
    <row r="19" customFormat="false" ht="31.5" hidden="false" customHeight="true" outlineLevel="0" collapsed="false">
      <c r="A19" s="24" t="s">
        <v>51</v>
      </c>
      <c r="B19" s="24"/>
      <c r="C19" s="24"/>
      <c r="D19" s="24"/>
      <c r="E19" s="24"/>
      <c r="F19" s="24"/>
      <c r="G19" s="24"/>
      <c r="H19" s="24"/>
    </row>
    <row r="20" customFormat="false" ht="31.5" hidden="false" customHeight="true" outlineLevel="0" collapsed="false">
      <c r="A20" s="24" t="s">
        <v>52</v>
      </c>
      <c r="B20" s="24"/>
      <c r="C20" s="24"/>
      <c r="D20" s="24"/>
      <c r="E20" s="24"/>
      <c r="F20" s="24"/>
      <c r="G20" s="24"/>
      <c r="H20" s="24"/>
    </row>
    <row r="21" customFormat="false" ht="15.75" hidden="false" customHeight="true" outlineLevel="0" collapsed="false">
      <c r="A21" s="24"/>
      <c r="B21" s="24"/>
      <c r="C21" s="24"/>
      <c r="D21" s="24"/>
      <c r="E21" s="24"/>
      <c r="F21" s="24"/>
      <c r="G21" s="24"/>
      <c r="H21" s="24"/>
    </row>
    <row r="22" customFormat="false" ht="15.75" hidden="false" customHeight="true" outlineLevel="0" collapsed="false">
      <c r="A22" s="23" t="s">
        <v>53</v>
      </c>
      <c r="B22" s="23"/>
      <c r="C22" s="23"/>
      <c r="D22" s="23"/>
      <c r="E22" s="23"/>
      <c r="F22" s="23"/>
      <c r="G22" s="23"/>
      <c r="H22" s="23"/>
    </row>
    <row r="23" customFormat="false" ht="31.5" hidden="false" customHeight="true" outlineLevel="0" collapsed="false">
      <c r="A23" s="24" t="s">
        <v>54</v>
      </c>
      <c r="B23" s="24"/>
      <c r="C23" s="24"/>
      <c r="D23" s="24"/>
      <c r="E23" s="24"/>
      <c r="F23" s="24"/>
      <c r="G23" s="24"/>
      <c r="H23" s="24"/>
    </row>
    <row r="24" customFormat="false" ht="15.75" hidden="false" customHeight="true" outlineLevel="0" collapsed="false">
      <c r="A24" s="24"/>
      <c r="B24" s="24"/>
      <c r="C24" s="24"/>
      <c r="D24" s="24"/>
      <c r="E24" s="24"/>
      <c r="F24" s="24"/>
      <c r="G24" s="24"/>
      <c r="H24" s="24"/>
    </row>
    <row r="25" customFormat="false" ht="15.75" hidden="false" customHeight="true" outlineLevel="0" collapsed="false">
      <c r="A25" s="23" t="s">
        <v>55</v>
      </c>
      <c r="B25" s="23"/>
      <c r="C25" s="23"/>
      <c r="D25" s="23"/>
      <c r="E25" s="23"/>
      <c r="F25" s="23"/>
      <c r="G25" s="23"/>
      <c r="H25" s="23"/>
    </row>
    <row r="26" customFormat="false" ht="31.5" hidden="false" customHeight="true" outlineLevel="0" collapsed="false">
      <c r="A26" s="1" t="s">
        <v>0</v>
      </c>
      <c r="B26" s="1" t="s">
        <v>1</v>
      </c>
      <c r="C26" s="1" t="s">
        <v>2</v>
      </c>
      <c r="D26" s="1" t="s">
        <v>3</v>
      </c>
      <c r="E26" s="1" t="s">
        <v>4</v>
      </c>
      <c r="F26" s="1" t="s">
        <v>5</v>
      </c>
      <c r="G26" s="1" t="s">
        <v>6</v>
      </c>
      <c r="H26" s="1" t="s">
        <v>7</v>
      </c>
    </row>
    <row r="27" customFormat="false" ht="15" hidden="false" customHeight="false" outlineLevel="0" collapsed="false">
      <c r="A27" s="2"/>
      <c r="B27" s="4" t="s">
        <v>8</v>
      </c>
      <c r="C27" s="4"/>
      <c r="D27" s="5"/>
      <c r="E27" s="5"/>
      <c r="F27" s="25"/>
      <c r="G27" s="7" t="n">
        <v>15000</v>
      </c>
      <c r="H27" s="7" t="n">
        <v>40000</v>
      </c>
    </row>
    <row r="28" customFormat="false" ht="15" hidden="false" customHeight="false" outlineLevel="0" collapsed="false">
      <c r="A28" s="2" t="n">
        <v>46300</v>
      </c>
      <c r="B28" s="4" t="s">
        <v>56</v>
      </c>
      <c r="C28" s="4" t="s">
        <v>18</v>
      </c>
      <c r="D28" s="5" t="n">
        <v>43000</v>
      </c>
      <c r="E28" s="5"/>
      <c r="F28" s="25" t="s">
        <v>33</v>
      </c>
      <c r="G28" s="7" t="n">
        <f aca="false">$G$27+SUMIF($F$28:$F28,"Espèces",$D$28:$D28)-SUMIF($F$28:$F28,"Espèces",$E$28:$E28)</f>
        <v>58000</v>
      </c>
      <c r="H28" s="7" t="n">
        <f aca="false">$H$27+SUMIF($F$28:$F28,"Mobile Money",$D$28:$D28)-SUMIF($F$28:$F28,"Mobile Money",$E$28:$E28)</f>
        <v>40000</v>
      </c>
    </row>
    <row r="29" customFormat="false" ht="15" hidden="false" customHeight="false" outlineLevel="0" collapsed="false">
      <c r="A29" s="2" t="n">
        <v>46300</v>
      </c>
      <c r="B29" s="4" t="s">
        <v>57</v>
      </c>
      <c r="C29" s="4" t="s">
        <v>18</v>
      </c>
      <c r="D29" s="5" t="n">
        <v>14000</v>
      </c>
      <c r="E29" s="5"/>
      <c r="F29" s="25" t="s">
        <v>34</v>
      </c>
      <c r="G29" s="7" t="n">
        <f aca="false">$G$27+SUMIF($F$28:$F29,"Espèces",$D$28:$D29)-SUMIF($F$28:$F29,"Espèces",$E$28:$E29)</f>
        <v>58000</v>
      </c>
      <c r="H29" s="7" t="n">
        <f aca="false">$H$27+SUMIF($F$28:$F29,"Mobile Money",$D$28:$D29)-SUMIF($F$28:$F29,"Mobile Money",$E$28:$E29)</f>
        <v>54000</v>
      </c>
    </row>
    <row r="30" customFormat="false" ht="15" hidden="false" customHeight="false" outlineLevel="0" collapsed="false">
      <c r="A30" s="2" t="n">
        <v>46300</v>
      </c>
      <c r="B30" s="4" t="s">
        <v>58</v>
      </c>
      <c r="C30" s="4" t="s">
        <v>19</v>
      </c>
      <c r="D30" s="5" t="n">
        <v>10000</v>
      </c>
      <c r="E30" s="5"/>
      <c r="F30" s="25" t="s">
        <v>34</v>
      </c>
      <c r="G30" s="7" t="n">
        <f aca="false">$G$27+SUMIF($F$28:$F30,"Espèces",$D$28:$D30)-SUMIF($F$28:$F30,"Espèces",$E$28:$E30)</f>
        <v>58000</v>
      </c>
      <c r="H30" s="7" t="n">
        <f aca="false">$H$27+SUMIF($F$28:$F30,"Mobile Money",$D$28:$D30)-SUMIF($F$28:$F30,"Mobile Money",$E$28:$E30)</f>
        <v>64000</v>
      </c>
    </row>
    <row r="31" customFormat="false" ht="15" hidden="false" customHeight="false" outlineLevel="0" collapsed="false">
      <c r="A31" s="2" t="n">
        <v>46300</v>
      </c>
      <c r="B31" s="4" t="s">
        <v>59</v>
      </c>
      <c r="C31" s="4" t="s">
        <v>21</v>
      </c>
      <c r="D31" s="5"/>
      <c r="E31" s="5" t="n">
        <v>300</v>
      </c>
      <c r="F31" s="25" t="s">
        <v>33</v>
      </c>
      <c r="G31" s="7" t="n">
        <f aca="false">$G$27+SUMIF($F$28:$F31,"Espèces",$D$28:$D31)-SUMIF($F$28:$F31,"Espèces",$E$28:$E31)</f>
        <v>57700</v>
      </c>
      <c r="H31" s="7" t="n">
        <f aca="false">$H$27+SUMIF($F$28:$F31,"Mobile Money",$D$28:$D31)-SUMIF($F$28:$F31,"Mobile Money",$E$28:$E31)</f>
        <v>64000</v>
      </c>
    </row>
    <row r="32" customFormat="false" ht="15" hidden="false" customHeight="false" outlineLevel="0" collapsed="false">
      <c r="A32" s="2" t="n">
        <v>46300</v>
      </c>
      <c r="B32" s="4" t="s">
        <v>60</v>
      </c>
      <c r="C32" s="4" t="s">
        <v>21</v>
      </c>
      <c r="D32" s="5"/>
      <c r="E32" s="5" t="n">
        <v>2000</v>
      </c>
      <c r="F32" s="25" t="s">
        <v>33</v>
      </c>
      <c r="G32" s="7" t="n">
        <f aca="false">$G$27+SUMIF($F$28:$F32,"Espèces",$D$28:$D32)-SUMIF($F$28:$F32,"Espèces",$E$28:$E32)</f>
        <v>55700</v>
      </c>
      <c r="H32" s="7" t="n">
        <f aca="false">$H$27+SUMIF($F$28:$F32,"Mobile Money",$D$28:$D32)-SUMIF($F$28:$F32,"Mobile Money",$E$28:$E32)</f>
        <v>64000</v>
      </c>
    </row>
    <row r="33" customFormat="false" ht="26.85" hidden="false" customHeight="false" outlineLevel="0" collapsed="false">
      <c r="A33" s="2" t="n">
        <v>46300</v>
      </c>
      <c r="B33" s="4" t="s">
        <v>61</v>
      </c>
      <c r="C33" s="4" t="s">
        <v>23</v>
      </c>
      <c r="D33" s="5"/>
      <c r="E33" s="5" t="n">
        <v>1000</v>
      </c>
      <c r="F33" s="25" t="s">
        <v>33</v>
      </c>
      <c r="G33" s="7" t="n">
        <f aca="false">$G$27+SUMIF($F$28:$F33,"Espèces",$D$28:$D33)-SUMIF($F$28:$F33,"Espèces",$E$28:$E33)</f>
        <v>54700</v>
      </c>
      <c r="H33" s="7" t="n">
        <f aca="false">$H$27+SUMIF($F$28:$F33,"Mobile Money",$D$28:$D33)-SUMIF($F$28:$F33,"Mobile Money",$E$28:$E33)</f>
        <v>64000</v>
      </c>
    </row>
    <row r="34" customFormat="false" ht="15" hidden="false" customHeight="false" outlineLevel="0" collapsed="false">
      <c r="A34" s="2" t="n">
        <v>46300</v>
      </c>
      <c r="B34" s="4" t="s">
        <v>25</v>
      </c>
      <c r="C34" s="4" t="s">
        <v>25</v>
      </c>
      <c r="D34" s="5"/>
      <c r="E34" s="5" t="n">
        <v>5000</v>
      </c>
      <c r="F34" s="25" t="s">
        <v>33</v>
      </c>
      <c r="G34" s="7" t="n">
        <f aca="false">$G$27+SUMIF($F$28:$F34,"Espèces",$D$28:$D34)-SUMIF($F$28:$F34,"Espèces",$E$28:$E34)</f>
        <v>49700</v>
      </c>
      <c r="H34" s="7" t="n">
        <f aca="false">$H$27+SUMIF($F$28:$F34,"Mobile Money",$D$28:$D34)-SUMIF($F$28:$F34,"Mobile Money",$E$28:$E34)</f>
        <v>64000</v>
      </c>
    </row>
    <row r="36" customFormat="false" ht="15" hidden="false" customHeight="false" outlineLevel="0" collapsed="false">
      <c r="A36" s="26" t="s">
        <v>62</v>
      </c>
      <c r="B36" s="26"/>
      <c r="C36" s="26"/>
      <c r="D36" s="26"/>
      <c r="E36" s="26"/>
      <c r="F36" s="26"/>
      <c r="G36" s="26"/>
      <c r="H36" s="26"/>
    </row>
    <row r="38" customFormat="false" ht="15" hidden="false" customHeight="false" outlineLevel="0" collapsed="false">
      <c r="A38" s="27" t="s">
        <v>63</v>
      </c>
      <c r="B38" s="27"/>
      <c r="C38" s="27"/>
      <c r="D38" s="27"/>
      <c r="E38" s="27"/>
      <c r="F38" s="27"/>
      <c r="G38" s="27"/>
      <c r="H38" s="27"/>
    </row>
  </sheetData>
  <mergeCells count="27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A10:H10"/>
    <mergeCell ref="A11:H11"/>
    <mergeCell ref="A12:H12"/>
    <mergeCell ref="A13:H13"/>
    <mergeCell ref="A14:H14"/>
    <mergeCell ref="A15:H15"/>
    <mergeCell ref="A16:H16"/>
    <mergeCell ref="A17:H17"/>
    <mergeCell ref="A18:H18"/>
    <mergeCell ref="A19:H19"/>
    <mergeCell ref="A20:H20"/>
    <mergeCell ref="A21:H21"/>
    <mergeCell ref="A22:H22"/>
    <mergeCell ref="A23:H23"/>
    <mergeCell ref="A24:H24"/>
    <mergeCell ref="A25:H25"/>
    <mergeCell ref="A36:H36"/>
    <mergeCell ref="A38:H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2026-10-03T20:23:37Z</dcterms:created>
  <dc:creator>openpyxl</dc:creator>
  <dc:description/>
  <dc:language>en-US</dc:language>
  <cp:lastModifiedBy/>
  <dcterms:modified xsi:type="dcterms:W3CDTF">2026-10-03T20:23:38Z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