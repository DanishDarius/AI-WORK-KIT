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des" sheetId="1" state="visible" r:id="rId1"/>
    <sheet xmlns:r="http://schemas.openxmlformats.org/officeDocument/2006/relationships" name="Absences" sheetId="2" state="visible" r:id="rId2"/>
    <sheet xmlns:r="http://schemas.openxmlformats.org/officeDocument/2006/relationships" name="Résumé" sheetId="3" state="visible" r:id="rId3"/>
    <sheet xmlns:r="http://schemas.openxmlformats.org/officeDocument/2006/relationships" name="Mode d'emplo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ECEFEE"/>
        <bgColor rgb="00ECEFEE"/>
      </patternFill>
    </fill>
  </fills>
  <borders count="2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/>
    </xf>
    <xf numFmtId="1" fontId="2" fillId="3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3" fillId="0" borderId="0" pivotButton="0" quotePrefix="0" xfId="0"/>
    <xf numFmtId="1" fontId="4" fillId="3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D0CB"/>
          <bgColor rgb="00F8D0CB"/>
        </patternFill>
      </fill>
    </dxf>
    <dxf>
      <fill>
        <patternFill patternType="solid">
          <fgColor rgb="00D5EDE4"/>
          <bgColor rgb="00D5ED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0" customWidth="1" min="4" max="4"/>
  </cols>
  <sheetData>
    <row r="1" ht="46" customHeight="1">
      <c r="A1" s="1" t="inlineStr">
        <is>
          <t>Personne (prénom ou matricule)</t>
        </is>
      </c>
      <c r="B1" s="1" t="inlineStr">
        <is>
          <t>Jours de congé de l'année</t>
        </is>
      </c>
      <c r="C1" s="1" t="inlineStr">
        <is>
          <t>Jours accordés ou pris</t>
        </is>
      </c>
      <c r="D1" s="1" t="inlineStr">
        <is>
          <t>Reste</t>
        </is>
      </c>
    </row>
    <row r="2">
      <c r="A2" s="2" t="n"/>
      <c r="B2" s="3" t="n"/>
      <c r="C2" s="4">
        <f>IF($A2="","",SUMIFS(Absences!$E$2:$E$251,Absences!$A$2:$A$251,$A2,Absences!$B$2:$B$251,"Congé annuel",Absences!$F$2:$F$251,"Accordé")+SUMIFS(Absences!$E$2:$E$251,Absences!$A$2:$A$251,$A2,Absences!$B$2:$B$251,"Congé annuel",Absences!$F$2:$F$251,"Pris"))</f>
        <v/>
      </c>
      <c r="D2" s="4">
        <f>IF(OR($A2="",$B2=""),"",$B2-$C2)</f>
        <v/>
      </c>
    </row>
    <row r="3">
      <c r="A3" s="2" t="n"/>
      <c r="B3" s="3" t="n"/>
      <c r="C3" s="4">
        <f>IF($A3="","",SUMIFS(Absences!$E$2:$E$251,Absences!$A$2:$A$251,$A3,Absences!$B$2:$B$251,"Congé annuel",Absences!$F$2:$F$251,"Accordé")+SUMIFS(Absences!$E$2:$E$251,Absences!$A$2:$A$251,$A3,Absences!$B$2:$B$251,"Congé annuel",Absences!$F$2:$F$251,"Pris"))</f>
        <v/>
      </c>
      <c r="D3" s="4">
        <f>IF(OR($A3="",$B3=""),"",$B3-$C3)</f>
        <v/>
      </c>
    </row>
    <row r="4">
      <c r="A4" s="2" t="n"/>
      <c r="B4" s="3" t="n"/>
      <c r="C4" s="4">
        <f>IF($A4="","",SUMIFS(Absences!$E$2:$E$251,Absences!$A$2:$A$251,$A4,Absences!$B$2:$B$251,"Congé annuel",Absences!$F$2:$F$251,"Accordé")+SUMIFS(Absences!$E$2:$E$251,Absences!$A$2:$A$251,$A4,Absences!$B$2:$B$251,"Congé annuel",Absences!$F$2:$F$251,"Pris"))</f>
        <v/>
      </c>
      <c r="D4" s="4">
        <f>IF(OR($A4="",$B4=""),"",$B4-$C4)</f>
        <v/>
      </c>
    </row>
    <row r="5">
      <c r="A5" s="2" t="n"/>
      <c r="B5" s="3" t="n"/>
      <c r="C5" s="4">
        <f>IF($A5="","",SUMIFS(Absences!$E$2:$E$251,Absences!$A$2:$A$251,$A5,Absences!$B$2:$B$251,"Congé annuel",Absences!$F$2:$F$251,"Accordé")+SUMIFS(Absences!$E$2:$E$251,Absences!$A$2:$A$251,$A5,Absences!$B$2:$B$251,"Congé annuel",Absences!$F$2:$F$251,"Pris"))</f>
        <v/>
      </c>
      <c r="D5" s="4">
        <f>IF(OR($A5="",$B5=""),"",$B5-$C5)</f>
        <v/>
      </c>
    </row>
    <row r="6">
      <c r="A6" s="2" t="n"/>
      <c r="B6" s="3" t="n"/>
      <c r="C6" s="4">
        <f>IF($A6="","",SUMIFS(Absences!$E$2:$E$251,Absences!$A$2:$A$251,$A6,Absences!$B$2:$B$251,"Congé annuel",Absences!$F$2:$F$251,"Accordé")+SUMIFS(Absences!$E$2:$E$251,Absences!$A$2:$A$251,$A6,Absences!$B$2:$B$251,"Congé annuel",Absences!$F$2:$F$251,"Pris"))</f>
        <v/>
      </c>
      <c r="D6" s="4">
        <f>IF(OR($A6="",$B6=""),"",$B6-$C6)</f>
        <v/>
      </c>
    </row>
    <row r="7">
      <c r="A7" s="2" t="n"/>
      <c r="B7" s="3" t="n"/>
      <c r="C7" s="4">
        <f>IF($A7="","",SUMIFS(Absences!$E$2:$E$251,Absences!$A$2:$A$251,$A7,Absences!$B$2:$B$251,"Congé annuel",Absences!$F$2:$F$251,"Accordé")+SUMIFS(Absences!$E$2:$E$251,Absences!$A$2:$A$251,$A7,Absences!$B$2:$B$251,"Congé annuel",Absences!$F$2:$F$251,"Pris"))</f>
        <v/>
      </c>
      <c r="D7" s="4">
        <f>IF(OR($A7="",$B7=""),"",$B7-$C7)</f>
        <v/>
      </c>
    </row>
    <row r="8">
      <c r="A8" s="2" t="n"/>
      <c r="B8" s="3" t="n"/>
      <c r="C8" s="4">
        <f>IF($A8="","",SUMIFS(Absences!$E$2:$E$251,Absences!$A$2:$A$251,$A8,Absences!$B$2:$B$251,"Congé annuel",Absences!$F$2:$F$251,"Accordé")+SUMIFS(Absences!$E$2:$E$251,Absences!$A$2:$A$251,$A8,Absences!$B$2:$B$251,"Congé annuel",Absences!$F$2:$F$251,"Pris"))</f>
        <v/>
      </c>
      <c r="D8" s="4">
        <f>IF(OR($A8="",$B8=""),"",$B8-$C8)</f>
        <v/>
      </c>
    </row>
    <row r="9">
      <c r="A9" s="2" t="n"/>
      <c r="B9" s="3" t="n"/>
      <c r="C9" s="4">
        <f>IF($A9="","",SUMIFS(Absences!$E$2:$E$251,Absences!$A$2:$A$251,$A9,Absences!$B$2:$B$251,"Congé annuel",Absences!$F$2:$F$251,"Accordé")+SUMIFS(Absences!$E$2:$E$251,Absences!$A$2:$A$251,$A9,Absences!$B$2:$B$251,"Congé annuel",Absences!$F$2:$F$251,"Pris"))</f>
        <v/>
      </c>
      <c r="D9" s="4">
        <f>IF(OR($A9="",$B9=""),"",$B9-$C9)</f>
        <v/>
      </c>
    </row>
    <row r="10">
      <c r="A10" s="2" t="n"/>
      <c r="B10" s="3" t="n"/>
      <c r="C10" s="4">
        <f>IF($A10="","",SUMIFS(Absences!$E$2:$E$251,Absences!$A$2:$A$251,$A10,Absences!$B$2:$B$251,"Congé annuel",Absences!$F$2:$F$251,"Accordé")+SUMIFS(Absences!$E$2:$E$251,Absences!$A$2:$A$251,$A10,Absences!$B$2:$B$251,"Congé annuel",Absences!$F$2:$F$251,"Pris"))</f>
        <v/>
      </c>
      <c r="D10" s="4">
        <f>IF(OR($A10="",$B10=""),"",$B10-$C10)</f>
        <v/>
      </c>
    </row>
    <row r="11">
      <c r="A11" s="2" t="n"/>
      <c r="B11" s="3" t="n"/>
      <c r="C11" s="4">
        <f>IF($A11="","",SUMIFS(Absences!$E$2:$E$251,Absences!$A$2:$A$251,$A11,Absences!$B$2:$B$251,"Congé annuel",Absences!$F$2:$F$251,"Accordé")+SUMIFS(Absences!$E$2:$E$251,Absences!$A$2:$A$251,$A11,Absences!$B$2:$B$251,"Congé annuel",Absences!$F$2:$F$251,"Pris"))</f>
        <v/>
      </c>
      <c r="D11" s="4">
        <f>IF(OR($A11="",$B11=""),"",$B11-$C11)</f>
        <v/>
      </c>
    </row>
    <row r="12">
      <c r="A12" s="2" t="n"/>
      <c r="B12" s="3" t="n"/>
      <c r="C12" s="4">
        <f>IF($A12="","",SUMIFS(Absences!$E$2:$E$251,Absences!$A$2:$A$251,$A12,Absences!$B$2:$B$251,"Congé annuel",Absences!$F$2:$F$251,"Accordé")+SUMIFS(Absences!$E$2:$E$251,Absences!$A$2:$A$251,$A12,Absences!$B$2:$B$251,"Congé annuel",Absences!$F$2:$F$251,"Pris"))</f>
        <v/>
      </c>
      <c r="D12" s="4">
        <f>IF(OR($A12="",$B12=""),"",$B12-$C12)</f>
        <v/>
      </c>
    </row>
    <row r="13">
      <c r="A13" s="2" t="n"/>
      <c r="B13" s="3" t="n"/>
      <c r="C13" s="4">
        <f>IF($A13="","",SUMIFS(Absences!$E$2:$E$251,Absences!$A$2:$A$251,$A13,Absences!$B$2:$B$251,"Congé annuel",Absences!$F$2:$F$251,"Accordé")+SUMIFS(Absences!$E$2:$E$251,Absences!$A$2:$A$251,$A13,Absences!$B$2:$B$251,"Congé annuel",Absences!$F$2:$F$251,"Pris"))</f>
        <v/>
      </c>
      <c r="D13" s="4">
        <f>IF(OR($A13="",$B13=""),"",$B13-$C13)</f>
        <v/>
      </c>
    </row>
    <row r="14">
      <c r="A14" s="2" t="n"/>
      <c r="B14" s="3" t="n"/>
      <c r="C14" s="4">
        <f>IF($A14="","",SUMIFS(Absences!$E$2:$E$251,Absences!$A$2:$A$251,$A14,Absences!$B$2:$B$251,"Congé annuel",Absences!$F$2:$F$251,"Accordé")+SUMIFS(Absences!$E$2:$E$251,Absences!$A$2:$A$251,$A14,Absences!$B$2:$B$251,"Congé annuel",Absences!$F$2:$F$251,"Pris"))</f>
        <v/>
      </c>
      <c r="D14" s="4">
        <f>IF(OR($A14="",$B14=""),"",$B14-$C14)</f>
        <v/>
      </c>
    </row>
    <row r="15">
      <c r="A15" s="2" t="n"/>
      <c r="B15" s="3" t="n"/>
      <c r="C15" s="4">
        <f>IF($A15="","",SUMIFS(Absences!$E$2:$E$251,Absences!$A$2:$A$251,$A15,Absences!$B$2:$B$251,"Congé annuel",Absences!$F$2:$F$251,"Accordé")+SUMIFS(Absences!$E$2:$E$251,Absences!$A$2:$A$251,$A15,Absences!$B$2:$B$251,"Congé annuel",Absences!$F$2:$F$251,"Pris"))</f>
        <v/>
      </c>
      <c r="D15" s="4">
        <f>IF(OR($A15="",$B15=""),"",$B15-$C15)</f>
        <v/>
      </c>
    </row>
    <row r="16">
      <c r="A16" s="2" t="n"/>
      <c r="B16" s="3" t="n"/>
      <c r="C16" s="4">
        <f>IF($A16="","",SUMIFS(Absences!$E$2:$E$251,Absences!$A$2:$A$251,$A16,Absences!$B$2:$B$251,"Congé annuel",Absences!$F$2:$F$251,"Accordé")+SUMIFS(Absences!$E$2:$E$251,Absences!$A$2:$A$251,$A16,Absences!$B$2:$B$251,"Congé annuel",Absences!$F$2:$F$251,"Pris"))</f>
        <v/>
      </c>
      <c r="D16" s="4">
        <f>IF(OR($A16="",$B16=""),"",$B16-$C16)</f>
        <v/>
      </c>
    </row>
    <row r="17">
      <c r="A17" s="2" t="n"/>
      <c r="B17" s="3" t="n"/>
      <c r="C17" s="4">
        <f>IF($A17="","",SUMIFS(Absences!$E$2:$E$251,Absences!$A$2:$A$251,$A17,Absences!$B$2:$B$251,"Congé annuel",Absences!$F$2:$F$251,"Accordé")+SUMIFS(Absences!$E$2:$E$251,Absences!$A$2:$A$251,$A17,Absences!$B$2:$B$251,"Congé annuel",Absences!$F$2:$F$251,"Pris"))</f>
        <v/>
      </c>
      <c r="D17" s="4">
        <f>IF(OR($A17="",$B17=""),"",$B17-$C17)</f>
        <v/>
      </c>
    </row>
    <row r="18">
      <c r="A18" s="2" t="n"/>
      <c r="B18" s="3" t="n"/>
      <c r="C18" s="4">
        <f>IF($A18="","",SUMIFS(Absences!$E$2:$E$251,Absences!$A$2:$A$251,$A18,Absences!$B$2:$B$251,"Congé annuel",Absences!$F$2:$F$251,"Accordé")+SUMIFS(Absences!$E$2:$E$251,Absences!$A$2:$A$251,$A18,Absences!$B$2:$B$251,"Congé annuel",Absences!$F$2:$F$251,"Pris"))</f>
        <v/>
      </c>
      <c r="D18" s="4">
        <f>IF(OR($A18="",$B18=""),"",$B18-$C18)</f>
        <v/>
      </c>
    </row>
    <row r="19">
      <c r="A19" s="2" t="n"/>
      <c r="B19" s="3" t="n"/>
      <c r="C19" s="4">
        <f>IF($A19="","",SUMIFS(Absences!$E$2:$E$251,Absences!$A$2:$A$251,$A19,Absences!$B$2:$B$251,"Congé annuel",Absences!$F$2:$F$251,"Accordé")+SUMIFS(Absences!$E$2:$E$251,Absences!$A$2:$A$251,$A19,Absences!$B$2:$B$251,"Congé annuel",Absences!$F$2:$F$251,"Pris"))</f>
        <v/>
      </c>
      <c r="D19" s="4">
        <f>IF(OR($A19="",$B19=""),"",$B19-$C19)</f>
        <v/>
      </c>
    </row>
    <row r="20">
      <c r="A20" s="2" t="n"/>
      <c r="B20" s="3" t="n"/>
      <c r="C20" s="4">
        <f>IF($A20="","",SUMIFS(Absences!$E$2:$E$251,Absences!$A$2:$A$251,$A20,Absences!$B$2:$B$251,"Congé annuel",Absences!$F$2:$F$251,"Accordé")+SUMIFS(Absences!$E$2:$E$251,Absences!$A$2:$A$251,$A20,Absences!$B$2:$B$251,"Congé annuel",Absences!$F$2:$F$251,"Pris"))</f>
        <v/>
      </c>
      <c r="D20" s="4">
        <f>IF(OR($A20="",$B20=""),"",$B20-$C20)</f>
        <v/>
      </c>
    </row>
    <row r="21">
      <c r="A21" s="2" t="n"/>
      <c r="B21" s="3" t="n"/>
      <c r="C21" s="4">
        <f>IF($A21="","",SUMIFS(Absences!$E$2:$E$251,Absences!$A$2:$A$251,$A21,Absences!$B$2:$B$251,"Congé annuel",Absences!$F$2:$F$251,"Accordé")+SUMIFS(Absences!$E$2:$E$251,Absences!$A$2:$A$251,$A21,Absences!$B$2:$B$251,"Congé annuel",Absences!$F$2:$F$251,"Pris"))</f>
        <v/>
      </c>
      <c r="D21" s="4">
        <f>IF(OR($A21="",$B21=""),"",$B21-$C21)</f>
        <v/>
      </c>
    </row>
    <row r="22">
      <c r="A22" s="2" t="n"/>
      <c r="B22" s="3" t="n"/>
      <c r="C22" s="4">
        <f>IF($A22="","",SUMIFS(Absences!$E$2:$E$251,Absences!$A$2:$A$251,$A22,Absences!$B$2:$B$251,"Congé annuel",Absences!$F$2:$F$251,"Accordé")+SUMIFS(Absences!$E$2:$E$251,Absences!$A$2:$A$251,$A22,Absences!$B$2:$B$251,"Congé annuel",Absences!$F$2:$F$251,"Pris"))</f>
        <v/>
      </c>
      <c r="D22" s="4">
        <f>IF(OR($A22="",$B22=""),"",$B22-$C22)</f>
        <v/>
      </c>
    </row>
    <row r="23">
      <c r="A23" s="2" t="n"/>
      <c r="B23" s="3" t="n"/>
      <c r="C23" s="4">
        <f>IF($A23="","",SUMIFS(Absences!$E$2:$E$251,Absences!$A$2:$A$251,$A23,Absences!$B$2:$B$251,"Congé annuel",Absences!$F$2:$F$251,"Accordé")+SUMIFS(Absences!$E$2:$E$251,Absences!$A$2:$A$251,$A23,Absences!$B$2:$B$251,"Congé annuel",Absences!$F$2:$F$251,"Pris"))</f>
        <v/>
      </c>
      <c r="D23" s="4">
        <f>IF(OR($A23="",$B23=""),"",$B23-$C23)</f>
        <v/>
      </c>
    </row>
    <row r="24">
      <c r="A24" s="2" t="n"/>
      <c r="B24" s="3" t="n"/>
      <c r="C24" s="4">
        <f>IF($A24="","",SUMIFS(Absences!$E$2:$E$251,Absences!$A$2:$A$251,$A24,Absences!$B$2:$B$251,"Congé annuel",Absences!$F$2:$F$251,"Accordé")+SUMIFS(Absences!$E$2:$E$251,Absences!$A$2:$A$251,$A24,Absences!$B$2:$B$251,"Congé annuel",Absences!$F$2:$F$251,"Pris"))</f>
        <v/>
      </c>
      <c r="D24" s="4">
        <f>IF(OR($A24="",$B24=""),"",$B24-$C24)</f>
        <v/>
      </c>
    </row>
    <row r="25">
      <c r="A25" s="2" t="n"/>
      <c r="B25" s="3" t="n"/>
      <c r="C25" s="4">
        <f>IF($A25="","",SUMIFS(Absences!$E$2:$E$251,Absences!$A$2:$A$251,$A25,Absences!$B$2:$B$251,"Congé annuel",Absences!$F$2:$F$251,"Accordé")+SUMIFS(Absences!$E$2:$E$251,Absences!$A$2:$A$251,$A25,Absences!$B$2:$B$251,"Congé annuel",Absences!$F$2:$F$251,"Pris"))</f>
        <v/>
      </c>
      <c r="D25" s="4">
        <f>IF(OR($A25="",$B25=""),"",$B25-$C25)</f>
        <v/>
      </c>
    </row>
    <row r="26">
      <c r="A26" s="2" t="n"/>
      <c r="B26" s="3" t="n"/>
      <c r="C26" s="4">
        <f>IF($A26="","",SUMIFS(Absences!$E$2:$E$251,Absences!$A$2:$A$251,$A26,Absences!$B$2:$B$251,"Congé annuel",Absences!$F$2:$F$251,"Accordé")+SUMIFS(Absences!$E$2:$E$251,Absences!$A$2:$A$251,$A26,Absences!$B$2:$B$251,"Congé annuel",Absences!$F$2:$F$251,"Pris"))</f>
        <v/>
      </c>
      <c r="D26" s="4">
        <f>IF(OR($A26="",$B26=""),"",$B26-$C26)</f>
        <v/>
      </c>
    </row>
    <row r="27">
      <c r="A27" s="2" t="n"/>
      <c r="B27" s="3" t="n"/>
      <c r="C27" s="4">
        <f>IF($A27="","",SUMIFS(Absences!$E$2:$E$251,Absences!$A$2:$A$251,$A27,Absences!$B$2:$B$251,"Congé annuel",Absences!$F$2:$F$251,"Accordé")+SUMIFS(Absences!$E$2:$E$251,Absences!$A$2:$A$251,$A27,Absences!$B$2:$B$251,"Congé annuel",Absences!$F$2:$F$251,"Pris"))</f>
        <v/>
      </c>
      <c r="D27" s="4">
        <f>IF(OR($A27="",$B27=""),"",$B27-$C27)</f>
        <v/>
      </c>
    </row>
    <row r="28">
      <c r="A28" s="2" t="n"/>
      <c r="B28" s="3" t="n"/>
      <c r="C28" s="4">
        <f>IF($A28="","",SUMIFS(Absences!$E$2:$E$251,Absences!$A$2:$A$251,$A28,Absences!$B$2:$B$251,"Congé annuel",Absences!$F$2:$F$251,"Accordé")+SUMIFS(Absences!$E$2:$E$251,Absences!$A$2:$A$251,$A28,Absences!$B$2:$B$251,"Congé annuel",Absences!$F$2:$F$251,"Pris"))</f>
        <v/>
      </c>
      <c r="D28" s="4">
        <f>IF(OR($A28="",$B28=""),"",$B28-$C28)</f>
        <v/>
      </c>
    </row>
    <row r="29">
      <c r="A29" s="2" t="n"/>
      <c r="B29" s="3" t="n"/>
      <c r="C29" s="4">
        <f>IF($A29="","",SUMIFS(Absences!$E$2:$E$251,Absences!$A$2:$A$251,$A29,Absences!$B$2:$B$251,"Congé annuel",Absences!$F$2:$F$251,"Accordé")+SUMIFS(Absences!$E$2:$E$251,Absences!$A$2:$A$251,$A29,Absences!$B$2:$B$251,"Congé annuel",Absences!$F$2:$F$251,"Pris"))</f>
        <v/>
      </c>
      <c r="D29" s="4">
        <f>IF(OR($A29="",$B29=""),"",$B29-$C29)</f>
        <v/>
      </c>
    </row>
    <row r="30">
      <c r="A30" s="2" t="n"/>
      <c r="B30" s="3" t="n"/>
      <c r="C30" s="4">
        <f>IF($A30="","",SUMIFS(Absences!$E$2:$E$251,Absences!$A$2:$A$251,$A30,Absences!$B$2:$B$251,"Congé annuel",Absences!$F$2:$F$251,"Accordé")+SUMIFS(Absences!$E$2:$E$251,Absences!$A$2:$A$251,$A30,Absences!$B$2:$B$251,"Congé annuel",Absences!$F$2:$F$251,"Pris"))</f>
        <v/>
      </c>
      <c r="D30" s="4">
        <f>IF(OR($A30="",$B30=""),"",$B30-$C30)</f>
        <v/>
      </c>
    </row>
    <row r="31">
      <c r="A31" s="2" t="n"/>
      <c r="B31" s="3" t="n"/>
      <c r="C31" s="4">
        <f>IF($A31="","",SUMIFS(Absences!$E$2:$E$251,Absences!$A$2:$A$251,$A31,Absences!$B$2:$B$251,"Congé annuel",Absences!$F$2:$F$251,"Accordé")+SUMIFS(Absences!$E$2:$E$251,Absences!$A$2:$A$251,$A31,Absences!$B$2:$B$251,"Congé annuel",Absences!$F$2:$F$251,"Pris"))</f>
        <v/>
      </c>
      <c r="D31" s="4">
        <f>IF(OR($A31="",$B31=""),"",$B31-$C31)</f>
        <v/>
      </c>
    </row>
    <row r="32">
      <c r="A32" s="2" t="n"/>
      <c r="B32" s="3" t="n"/>
      <c r="C32" s="4">
        <f>IF($A32="","",SUMIFS(Absences!$E$2:$E$251,Absences!$A$2:$A$251,$A32,Absences!$B$2:$B$251,"Congé annuel",Absences!$F$2:$F$251,"Accordé")+SUMIFS(Absences!$E$2:$E$251,Absences!$A$2:$A$251,$A32,Absences!$B$2:$B$251,"Congé annuel",Absences!$F$2:$F$251,"Pris"))</f>
        <v/>
      </c>
      <c r="D32" s="4">
        <f>IF(OR($A32="",$B32=""),"",$B32-$C32)</f>
        <v/>
      </c>
    </row>
    <row r="33">
      <c r="A33" s="2" t="n"/>
      <c r="B33" s="3" t="n"/>
      <c r="C33" s="4">
        <f>IF($A33="","",SUMIFS(Absences!$E$2:$E$251,Absences!$A$2:$A$251,$A33,Absences!$B$2:$B$251,"Congé annuel",Absences!$F$2:$F$251,"Accordé")+SUMIFS(Absences!$E$2:$E$251,Absences!$A$2:$A$251,$A33,Absences!$B$2:$B$251,"Congé annuel",Absences!$F$2:$F$251,"Pris"))</f>
        <v/>
      </c>
      <c r="D33" s="4">
        <f>IF(OR($A33="",$B33=""),"",$B33-$C33)</f>
        <v/>
      </c>
    </row>
    <row r="34">
      <c r="A34" s="2" t="n"/>
      <c r="B34" s="3" t="n"/>
      <c r="C34" s="4">
        <f>IF($A34="","",SUMIFS(Absences!$E$2:$E$251,Absences!$A$2:$A$251,$A34,Absences!$B$2:$B$251,"Congé annuel",Absences!$F$2:$F$251,"Accordé")+SUMIFS(Absences!$E$2:$E$251,Absences!$A$2:$A$251,$A34,Absences!$B$2:$B$251,"Congé annuel",Absences!$F$2:$F$251,"Pris"))</f>
        <v/>
      </c>
      <c r="D34" s="4">
        <f>IF(OR($A34="",$B34=""),"",$B34-$C34)</f>
        <v/>
      </c>
    </row>
    <row r="35">
      <c r="A35" s="2" t="n"/>
      <c r="B35" s="3" t="n"/>
      <c r="C35" s="4">
        <f>IF($A35="","",SUMIFS(Absences!$E$2:$E$251,Absences!$A$2:$A$251,$A35,Absences!$B$2:$B$251,"Congé annuel",Absences!$F$2:$F$251,"Accordé")+SUMIFS(Absences!$E$2:$E$251,Absences!$A$2:$A$251,$A35,Absences!$B$2:$B$251,"Congé annuel",Absences!$F$2:$F$251,"Pris"))</f>
        <v/>
      </c>
      <c r="D35" s="4">
        <f>IF(OR($A35="",$B35=""),"",$B35-$C35)</f>
        <v/>
      </c>
    </row>
    <row r="36">
      <c r="A36" s="2" t="n"/>
      <c r="B36" s="3" t="n"/>
      <c r="C36" s="4">
        <f>IF($A36="","",SUMIFS(Absences!$E$2:$E$251,Absences!$A$2:$A$251,$A36,Absences!$B$2:$B$251,"Congé annuel",Absences!$F$2:$F$251,"Accordé")+SUMIFS(Absences!$E$2:$E$251,Absences!$A$2:$A$251,$A36,Absences!$B$2:$B$251,"Congé annuel",Absences!$F$2:$F$251,"Pris"))</f>
        <v/>
      </c>
      <c r="D36" s="4">
        <f>IF(OR($A36="",$B36=""),"",$B36-$C36)</f>
        <v/>
      </c>
    </row>
    <row r="37">
      <c r="A37" s="2" t="n"/>
      <c r="B37" s="3" t="n"/>
      <c r="C37" s="4">
        <f>IF($A37="","",SUMIFS(Absences!$E$2:$E$251,Absences!$A$2:$A$251,$A37,Absences!$B$2:$B$251,"Congé annuel",Absences!$F$2:$F$251,"Accordé")+SUMIFS(Absences!$E$2:$E$251,Absences!$A$2:$A$251,$A37,Absences!$B$2:$B$251,"Congé annuel",Absences!$F$2:$F$251,"Pris"))</f>
        <v/>
      </c>
      <c r="D37" s="4">
        <f>IF(OR($A37="",$B37=""),"",$B37-$C37)</f>
        <v/>
      </c>
    </row>
    <row r="38">
      <c r="A38" s="2" t="n"/>
      <c r="B38" s="3" t="n"/>
      <c r="C38" s="4">
        <f>IF($A38="","",SUMIFS(Absences!$E$2:$E$251,Absences!$A$2:$A$251,$A38,Absences!$B$2:$B$251,"Congé annuel",Absences!$F$2:$F$251,"Accordé")+SUMIFS(Absences!$E$2:$E$251,Absences!$A$2:$A$251,$A38,Absences!$B$2:$B$251,"Congé annuel",Absences!$F$2:$F$251,"Pris"))</f>
        <v/>
      </c>
      <c r="D38" s="4">
        <f>IF(OR($A38="",$B38=""),"",$B38-$C38)</f>
        <v/>
      </c>
    </row>
    <row r="39">
      <c r="A39" s="2" t="n"/>
      <c r="B39" s="3" t="n"/>
      <c r="C39" s="4">
        <f>IF($A39="","",SUMIFS(Absences!$E$2:$E$251,Absences!$A$2:$A$251,$A39,Absences!$B$2:$B$251,"Congé annuel",Absences!$F$2:$F$251,"Accordé")+SUMIFS(Absences!$E$2:$E$251,Absences!$A$2:$A$251,$A39,Absences!$B$2:$B$251,"Congé annuel",Absences!$F$2:$F$251,"Pris"))</f>
        <v/>
      </c>
      <c r="D39" s="4">
        <f>IF(OR($A39="",$B39=""),"",$B39-$C39)</f>
        <v/>
      </c>
    </row>
    <row r="40">
      <c r="A40" s="2" t="n"/>
      <c r="B40" s="3" t="n"/>
      <c r="C40" s="4">
        <f>IF($A40="","",SUMIFS(Absences!$E$2:$E$251,Absences!$A$2:$A$251,$A40,Absences!$B$2:$B$251,"Congé annuel",Absences!$F$2:$F$251,"Accordé")+SUMIFS(Absences!$E$2:$E$251,Absences!$A$2:$A$251,$A40,Absences!$B$2:$B$251,"Congé annuel",Absences!$F$2:$F$251,"Pris"))</f>
        <v/>
      </c>
      <c r="D40" s="4">
        <f>IF(OR($A40="",$B40=""),"",$B40-$C40)</f>
        <v/>
      </c>
    </row>
    <row r="41">
      <c r="A41" s="2" t="n"/>
      <c r="B41" s="3" t="n"/>
      <c r="C41" s="4">
        <f>IF($A41="","",SUMIFS(Absences!$E$2:$E$251,Absences!$A$2:$A$251,$A41,Absences!$B$2:$B$251,"Congé annuel",Absences!$F$2:$F$251,"Accordé")+SUMIFS(Absences!$E$2:$E$251,Absences!$A$2:$A$251,$A41,Absences!$B$2:$B$251,"Congé annuel",Absences!$F$2:$F$251,"Pris"))</f>
        <v/>
      </c>
      <c r="D41" s="4">
        <f>IF(OR($A41="",$B41=""),"",$B41-$C41)</f>
        <v/>
      </c>
    </row>
    <row r="42">
      <c r="A42" s="2" t="n"/>
      <c r="B42" s="3" t="n"/>
      <c r="C42" s="4">
        <f>IF($A42="","",SUMIFS(Absences!$E$2:$E$251,Absences!$A$2:$A$251,$A42,Absences!$B$2:$B$251,"Congé annuel",Absences!$F$2:$F$251,"Accordé")+SUMIFS(Absences!$E$2:$E$251,Absences!$A$2:$A$251,$A42,Absences!$B$2:$B$251,"Congé annuel",Absences!$F$2:$F$251,"Pris"))</f>
        <v/>
      </c>
      <c r="D42" s="4">
        <f>IF(OR($A42="",$B42=""),"",$B42-$C42)</f>
        <v/>
      </c>
    </row>
    <row r="43">
      <c r="A43" s="2" t="n"/>
      <c r="B43" s="3" t="n"/>
      <c r="C43" s="4">
        <f>IF($A43="","",SUMIFS(Absences!$E$2:$E$251,Absences!$A$2:$A$251,$A43,Absences!$B$2:$B$251,"Congé annuel",Absences!$F$2:$F$251,"Accordé")+SUMIFS(Absences!$E$2:$E$251,Absences!$A$2:$A$251,$A43,Absences!$B$2:$B$251,"Congé annuel",Absences!$F$2:$F$251,"Pris"))</f>
        <v/>
      </c>
      <c r="D43" s="4">
        <f>IF(OR($A43="",$B43=""),"",$B43-$C43)</f>
        <v/>
      </c>
    </row>
    <row r="44">
      <c r="A44" s="2" t="n"/>
      <c r="B44" s="3" t="n"/>
      <c r="C44" s="4">
        <f>IF($A44="","",SUMIFS(Absences!$E$2:$E$251,Absences!$A$2:$A$251,$A44,Absences!$B$2:$B$251,"Congé annuel",Absences!$F$2:$F$251,"Accordé")+SUMIFS(Absences!$E$2:$E$251,Absences!$A$2:$A$251,$A44,Absences!$B$2:$B$251,"Congé annuel",Absences!$F$2:$F$251,"Pris"))</f>
        <v/>
      </c>
      <c r="D44" s="4">
        <f>IF(OR($A44="",$B44=""),"",$B44-$C44)</f>
        <v/>
      </c>
    </row>
    <row r="45">
      <c r="A45" s="2" t="n"/>
      <c r="B45" s="3" t="n"/>
      <c r="C45" s="4">
        <f>IF($A45="","",SUMIFS(Absences!$E$2:$E$251,Absences!$A$2:$A$251,$A45,Absences!$B$2:$B$251,"Congé annuel",Absences!$F$2:$F$251,"Accordé")+SUMIFS(Absences!$E$2:$E$251,Absences!$A$2:$A$251,$A45,Absences!$B$2:$B$251,"Congé annuel",Absences!$F$2:$F$251,"Pris"))</f>
        <v/>
      </c>
      <c r="D45" s="4">
        <f>IF(OR($A45="",$B45=""),"",$B45-$C45)</f>
        <v/>
      </c>
    </row>
    <row r="46">
      <c r="A46" s="2" t="n"/>
      <c r="B46" s="3" t="n"/>
      <c r="C46" s="4">
        <f>IF($A46="","",SUMIFS(Absences!$E$2:$E$251,Absences!$A$2:$A$251,$A46,Absences!$B$2:$B$251,"Congé annuel",Absences!$F$2:$F$251,"Accordé")+SUMIFS(Absences!$E$2:$E$251,Absences!$A$2:$A$251,$A46,Absences!$B$2:$B$251,"Congé annuel",Absences!$F$2:$F$251,"Pris"))</f>
        <v/>
      </c>
      <c r="D46" s="4">
        <f>IF(OR($A46="",$B46=""),"",$B46-$C46)</f>
        <v/>
      </c>
    </row>
    <row r="47">
      <c r="A47" s="2" t="n"/>
      <c r="B47" s="3" t="n"/>
      <c r="C47" s="4">
        <f>IF($A47="","",SUMIFS(Absences!$E$2:$E$251,Absences!$A$2:$A$251,$A47,Absences!$B$2:$B$251,"Congé annuel",Absences!$F$2:$F$251,"Accordé")+SUMIFS(Absences!$E$2:$E$251,Absences!$A$2:$A$251,$A47,Absences!$B$2:$B$251,"Congé annuel",Absences!$F$2:$F$251,"Pris"))</f>
        <v/>
      </c>
      <c r="D47" s="4">
        <f>IF(OR($A47="",$B47=""),"",$B47-$C47)</f>
        <v/>
      </c>
    </row>
    <row r="48">
      <c r="A48" s="2" t="n"/>
      <c r="B48" s="3" t="n"/>
      <c r="C48" s="4">
        <f>IF($A48="","",SUMIFS(Absences!$E$2:$E$251,Absences!$A$2:$A$251,$A48,Absences!$B$2:$B$251,"Congé annuel",Absences!$F$2:$F$251,"Accordé")+SUMIFS(Absences!$E$2:$E$251,Absences!$A$2:$A$251,$A48,Absences!$B$2:$B$251,"Congé annuel",Absences!$F$2:$F$251,"Pris"))</f>
        <v/>
      </c>
      <c r="D48" s="4">
        <f>IF(OR($A48="",$B48=""),"",$B48-$C48)</f>
        <v/>
      </c>
    </row>
    <row r="49">
      <c r="A49" s="2" t="n"/>
      <c r="B49" s="3" t="n"/>
      <c r="C49" s="4">
        <f>IF($A49="","",SUMIFS(Absences!$E$2:$E$251,Absences!$A$2:$A$251,$A49,Absences!$B$2:$B$251,"Congé annuel",Absences!$F$2:$F$251,"Accordé")+SUMIFS(Absences!$E$2:$E$251,Absences!$A$2:$A$251,$A49,Absences!$B$2:$B$251,"Congé annuel",Absences!$F$2:$F$251,"Pris"))</f>
        <v/>
      </c>
      <c r="D49" s="4">
        <f>IF(OR($A49="",$B49=""),"",$B49-$C49)</f>
        <v/>
      </c>
    </row>
    <row r="50">
      <c r="A50" s="2" t="n"/>
      <c r="B50" s="3" t="n"/>
      <c r="C50" s="4">
        <f>IF($A50="","",SUMIFS(Absences!$E$2:$E$251,Absences!$A$2:$A$251,$A50,Absences!$B$2:$B$251,"Congé annuel",Absences!$F$2:$F$251,"Accordé")+SUMIFS(Absences!$E$2:$E$251,Absences!$A$2:$A$251,$A50,Absences!$B$2:$B$251,"Congé annuel",Absences!$F$2:$F$251,"Pris"))</f>
        <v/>
      </c>
      <c r="D50" s="4">
        <f>IF(OR($A50="",$B50=""),"",$B50-$C50)</f>
        <v/>
      </c>
    </row>
    <row r="51">
      <c r="A51" s="2" t="n"/>
      <c r="B51" s="3" t="n"/>
      <c r="C51" s="4">
        <f>IF($A51="","",SUMIFS(Absences!$E$2:$E$251,Absences!$A$2:$A$251,$A51,Absences!$B$2:$B$251,"Congé annuel",Absences!$F$2:$F$251,"Accordé")+SUMIFS(Absences!$E$2:$E$251,Absences!$A$2:$A$251,$A51,Absences!$B$2:$B$251,"Congé annuel",Absences!$F$2:$F$251,"Pris"))</f>
        <v/>
      </c>
      <c r="D51" s="4">
        <f>IF(OR($A51="",$B51=""),"",$B51-$C51)</f>
        <v/>
      </c>
    </row>
    <row r="52">
      <c r="A52" s="2" t="n"/>
      <c r="B52" s="3" t="n"/>
      <c r="C52" s="4">
        <f>IF($A52="","",SUMIFS(Absences!$E$2:$E$251,Absences!$A$2:$A$251,$A52,Absences!$B$2:$B$251,"Congé annuel",Absences!$F$2:$F$251,"Accordé")+SUMIFS(Absences!$E$2:$E$251,Absences!$A$2:$A$251,$A52,Absences!$B$2:$B$251,"Congé annuel",Absences!$F$2:$F$251,"Pris"))</f>
        <v/>
      </c>
      <c r="D52" s="4">
        <f>IF(OR($A52="",$B52=""),"",$B52-$C52)</f>
        <v/>
      </c>
    </row>
    <row r="53">
      <c r="A53" s="2" t="n"/>
      <c r="B53" s="3" t="n"/>
      <c r="C53" s="4">
        <f>IF($A53="","",SUMIFS(Absences!$E$2:$E$251,Absences!$A$2:$A$251,$A53,Absences!$B$2:$B$251,"Congé annuel",Absences!$F$2:$F$251,"Accordé")+SUMIFS(Absences!$E$2:$E$251,Absences!$A$2:$A$251,$A53,Absences!$B$2:$B$251,"Congé annuel",Absences!$F$2:$F$251,"Pris"))</f>
        <v/>
      </c>
      <c r="D53" s="4">
        <f>IF(OR($A53="",$B53=""),"",$B53-$C53)</f>
        <v/>
      </c>
    </row>
    <row r="54">
      <c r="A54" s="2" t="n"/>
      <c r="B54" s="3" t="n"/>
      <c r="C54" s="4">
        <f>IF($A54="","",SUMIFS(Absences!$E$2:$E$251,Absences!$A$2:$A$251,$A54,Absences!$B$2:$B$251,"Congé annuel",Absences!$F$2:$F$251,"Accordé")+SUMIFS(Absences!$E$2:$E$251,Absences!$A$2:$A$251,$A54,Absences!$B$2:$B$251,"Congé annuel",Absences!$F$2:$F$251,"Pris"))</f>
        <v/>
      </c>
      <c r="D54" s="4">
        <f>IF(OR($A54="",$B54=""),"",$B54-$C54)</f>
        <v/>
      </c>
    </row>
    <row r="55">
      <c r="A55" s="2" t="n"/>
      <c r="B55" s="3" t="n"/>
      <c r="C55" s="4">
        <f>IF($A55="","",SUMIFS(Absences!$E$2:$E$251,Absences!$A$2:$A$251,$A55,Absences!$B$2:$B$251,"Congé annuel",Absences!$F$2:$F$251,"Accordé")+SUMIFS(Absences!$E$2:$E$251,Absences!$A$2:$A$251,$A55,Absences!$B$2:$B$251,"Congé annuel",Absences!$F$2:$F$251,"Pris"))</f>
        <v/>
      </c>
      <c r="D55" s="4">
        <f>IF(OR($A55="",$B55=""),"",$B55-$C55)</f>
        <v/>
      </c>
    </row>
    <row r="56">
      <c r="A56" s="2" t="n"/>
      <c r="B56" s="3" t="n"/>
      <c r="C56" s="4">
        <f>IF($A56="","",SUMIFS(Absences!$E$2:$E$251,Absences!$A$2:$A$251,$A56,Absences!$B$2:$B$251,"Congé annuel",Absences!$F$2:$F$251,"Accordé")+SUMIFS(Absences!$E$2:$E$251,Absences!$A$2:$A$251,$A56,Absences!$B$2:$B$251,"Congé annuel",Absences!$F$2:$F$251,"Pris"))</f>
        <v/>
      </c>
      <c r="D56" s="4">
        <f>IF(OR($A56="",$B56=""),"",$B56-$C56)</f>
        <v/>
      </c>
    </row>
    <row r="57">
      <c r="A57" s="2" t="n"/>
      <c r="B57" s="3" t="n"/>
      <c r="C57" s="4">
        <f>IF($A57="","",SUMIFS(Absences!$E$2:$E$251,Absences!$A$2:$A$251,$A57,Absences!$B$2:$B$251,"Congé annuel",Absences!$F$2:$F$251,"Accordé")+SUMIFS(Absences!$E$2:$E$251,Absences!$A$2:$A$251,$A57,Absences!$B$2:$B$251,"Congé annuel",Absences!$F$2:$F$251,"Pris"))</f>
        <v/>
      </c>
      <c r="D57" s="4">
        <f>IF(OR($A57="",$B57=""),"",$B57-$C57)</f>
        <v/>
      </c>
    </row>
    <row r="58">
      <c r="A58" s="2" t="n"/>
      <c r="B58" s="3" t="n"/>
      <c r="C58" s="4">
        <f>IF($A58="","",SUMIFS(Absences!$E$2:$E$251,Absences!$A$2:$A$251,$A58,Absences!$B$2:$B$251,"Congé annuel",Absences!$F$2:$F$251,"Accordé")+SUMIFS(Absences!$E$2:$E$251,Absences!$A$2:$A$251,$A58,Absences!$B$2:$B$251,"Congé annuel",Absences!$F$2:$F$251,"Pris"))</f>
        <v/>
      </c>
      <c r="D58" s="4">
        <f>IF(OR($A58="",$B58=""),"",$B58-$C58)</f>
        <v/>
      </c>
    </row>
    <row r="59">
      <c r="A59" s="2" t="n"/>
      <c r="B59" s="3" t="n"/>
      <c r="C59" s="4">
        <f>IF($A59="","",SUMIFS(Absences!$E$2:$E$251,Absences!$A$2:$A$251,$A59,Absences!$B$2:$B$251,"Congé annuel",Absences!$F$2:$F$251,"Accordé")+SUMIFS(Absences!$E$2:$E$251,Absences!$A$2:$A$251,$A59,Absences!$B$2:$B$251,"Congé annuel",Absences!$F$2:$F$251,"Pris"))</f>
        <v/>
      </c>
      <c r="D59" s="4">
        <f>IF(OR($A59="",$B59=""),"",$B59-$C59)</f>
        <v/>
      </c>
    </row>
    <row r="60">
      <c r="A60" s="2" t="n"/>
      <c r="B60" s="3" t="n"/>
      <c r="C60" s="4">
        <f>IF($A60="","",SUMIFS(Absences!$E$2:$E$251,Absences!$A$2:$A$251,$A60,Absences!$B$2:$B$251,"Congé annuel",Absences!$F$2:$F$251,"Accordé")+SUMIFS(Absences!$E$2:$E$251,Absences!$A$2:$A$251,$A60,Absences!$B$2:$B$251,"Congé annuel",Absences!$F$2:$F$251,"Pris"))</f>
        <v/>
      </c>
      <c r="D60" s="4">
        <f>IF(OR($A60="",$B60=""),"",$B60-$C60)</f>
        <v/>
      </c>
    </row>
    <row r="61">
      <c r="A61" s="2" t="n"/>
      <c r="B61" s="3" t="n"/>
      <c r="C61" s="4">
        <f>IF($A61="","",SUMIFS(Absences!$E$2:$E$251,Absences!$A$2:$A$251,$A61,Absences!$B$2:$B$251,"Congé annuel",Absences!$F$2:$F$251,"Accordé")+SUMIFS(Absences!$E$2:$E$251,Absences!$A$2:$A$251,$A61,Absences!$B$2:$B$251,"Congé annuel",Absences!$F$2:$F$251,"Pris"))</f>
        <v/>
      </c>
      <c r="D61" s="4">
        <f>IF(OR($A61="",$B61=""),"",$B61-$C61)</f>
        <v/>
      </c>
    </row>
  </sheetData>
  <conditionalFormatting sqref="B2:B61">
    <cfRule type="expression" priority="1" dxfId="0">
      <formula>AND($B2&lt;&gt;"",NOT(ISNUMBER($B2)))</formula>
    </cfRule>
  </conditionalFormatting>
  <conditionalFormatting sqref="D2:D61">
    <cfRule type="expression" priority="2" dxfId="0">
      <formula>AND(ISNUMBER($D2),$D2&lt;0)</formula>
    </cfRule>
  </conditionalFormatting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2" customWidth="1" min="3" max="3"/>
    <col width="12" customWidth="1" min="4" max="4"/>
    <col width="8" customWidth="1" min="5" max="5"/>
    <col width="11" customWidth="1" min="6" max="6"/>
    <col width="30" customWidth="1" min="7" max="7"/>
  </cols>
  <sheetData>
    <row r="1" ht="46" customHeight="1">
      <c r="A1" s="1" t="inlineStr">
        <is>
          <t>Personne</t>
        </is>
      </c>
      <c r="B1" s="1" t="inlineStr">
        <is>
          <t>Type</t>
        </is>
      </c>
      <c r="C1" s="1" t="inlineStr">
        <is>
          <t>Du</t>
        </is>
      </c>
      <c r="D1" s="1" t="inlineStr">
        <is>
          <t>Au</t>
        </is>
      </c>
      <c r="E1" s="1" t="inlineStr">
        <is>
          <t>Jours</t>
        </is>
      </c>
      <c r="F1" s="1" t="inlineStr">
        <is>
          <t>État</t>
        </is>
      </c>
      <c r="G1" s="1" t="inlineStr">
        <is>
          <t>Remarque</t>
        </is>
      </c>
    </row>
    <row r="2">
      <c r="A2" s="2" t="n"/>
      <c r="B2" s="2" t="n"/>
      <c r="C2" s="5" t="n"/>
      <c r="D2" s="5" t="n"/>
      <c r="E2" s="4">
        <f>IF(OR($C2="",$D2=""),"",$D2-$C2+1)</f>
        <v/>
      </c>
      <c r="F2" s="2" t="n"/>
      <c r="G2" s="2" t="n"/>
    </row>
    <row r="3">
      <c r="A3" s="2" t="n"/>
      <c r="B3" s="2" t="n"/>
      <c r="C3" s="5" t="n"/>
      <c r="D3" s="5" t="n"/>
      <c r="E3" s="4">
        <f>IF(OR($C3="",$D3=""),"",$D3-$C3+1)</f>
        <v/>
      </c>
      <c r="F3" s="2" t="n"/>
      <c r="G3" s="2" t="n"/>
    </row>
    <row r="4">
      <c r="A4" s="2" t="n"/>
      <c r="B4" s="2" t="n"/>
      <c r="C4" s="5" t="n"/>
      <c r="D4" s="5" t="n"/>
      <c r="E4" s="4">
        <f>IF(OR($C4="",$D4=""),"",$D4-$C4+1)</f>
        <v/>
      </c>
      <c r="F4" s="2" t="n"/>
      <c r="G4" s="2" t="n"/>
    </row>
    <row r="5">
      <c r="A5" s="2" t="n"/>
      <c r="B5" s="2" t="n"/>
      <c r="C5" s="5" t="n"/>
      <c r="D5" s="5" t="n"/>
      <c r="E5" s="4">
        <f>IF(OR($C5="",$D5=""),"",$D5-$C5+1)</f>
        <v/>
      </c>
      <c r="F5" s="2" t="n"/>
      <c r="G5" s="2" t="n"/>
    </row>
    <row r="6">
      <c r="A6" s="2" t="n"/>
      <c r="B6" s="2" t="n"/>
      <c r="C6" s="5" t="n"/>
      <c r="D6" s="5" t="n"/>
      <c r="E6" s="4">
        <f>IF(OR($C6="",$D6=""),"",$D6-$C6+1)</f>
        <v/>
      </c>
      <c r="F6" s="2" t="n"/>
      <c r="G6" s="2" t="n"/>
    </row>
    <row r="7">
      <c r="A7" s="2" t="n"/>
      <c r="B7" s="2" t="n"/>
      <c r="C7" s="5" t="n"/>
      <c r="D7" s="5" t="n"/>
      <c r="E7" s="4">
        <f>IF(OR($C7="",$D7=""),"",$D7-$C7+1)</f>
        <v/>
      </c>
      <c r="F7" s="2" t="n"/>
      <c r="G7" s="2" t="n"/>
    </row>
    <row r="8">
      <c r="A8" s="2" t="n"/>
      <c r="B8" s="2" t="n"/>
      <c r="C8" s="5" t="n"/>
      <c r="D8" s="5" t="n"/>
      <c r="E8" s="4">
        <f>IF(OR($C8="",$D8=""),"",$D8-$C8+1)</f>
        <v/>
      </c>
      <c r="F8" s="2" t="n"/>
      <c r="G8" s="2" t="n"/>
    </row>
    <row r="9">
      <c r="A9" s="2" t="n"/>
      <c r="B9" s="2" t="n"/>
      <c r="C9" s="5" t="n"/>
      <c r="D9" s="5" t="n"/>
      <c r="E9" s="4">
        <f>IF(OR($C9="",$D9=""),"",$D9-$C9+1)</f>
        <v/>
      </c>
      <c r="F9" s="2" t="n"/>
      <c r="G9" s="2" t="n"/>
    </row>
    <row r="10">
      <c r="A10" s="2" t="n"/>
      <c r="B10" s="2" t="n"/>
      <c r="C10" s="5" t="n"/>
      <c r="D10" s="5" t="n"/>
      <c r="E10" s="4">
        <f>IF(OR($C10="",$D10=""),"",$D10-$C10+1)</f>
        <v/>
      </c>
      <c r="F10" s="2" t="n"/>
      <c r="G10" s="2" t="n"/>
    </row>
    <row r="11">
      <c r="A11" s="2" t="n"/>
      <c r="B11" s="2" t="n"/>
      <c r="C11" s="5" t="n"/>
      <c r="D11" s="5" t="n"/>
      <c r="E11" s="4">
        <f>IF(OR($C11="",$D11=""),"",$D11-$C11+1)</f>
        <v/>
      </c>
      <c r="F11" s="2" t="n"/>
      <c r="G11" s="2" t="n"/>
    </row>
    <row r="12">
      <c r="A12" s="2" t="n"/>
      <c r="B12" s="2" t="n"/>
      <c r="C12" s="5" t="n"/>
      <c r="D12" s="5" t="n"/>
      <c r="E12" s="4">
        <f>IF(OR($C12="",$D12=""),"",$D12-$C12+1)</f>
        <v/>
      </c>
      <c r="F12" s="2" t="n"/>
      <c r="G12" s="2" t="n"/>
    </row>
    <row r="13">
      <c r="A13" s="2" t="n"/>
      <c r="B13" s="2" t="n"/>
      <c r="C13" s="5" t="n"/>
      <c r="D13" s="5" t="n"/>
      <c r="E13" s="4">
        <f>IF(OR($C13="",$D13=""),"",$D13-$C13+1)</f>
        <v/>
      </c>
      <c r="F13" s="2" t="n"/>
      <c r="G13" s="2" t="n"/>
    </row>
    <row r="14">
      <c r="A14" s="2" t="n"/>
      <c r="B14" s="2" t="n"/>
      <c r="C14" s="5" t="n"/>
      <c r="D14" s="5" t="n"/>
      <c r="E14" s="4">
        <f>IF(OR($C14="",$D14=""),"",$D14-$C14+1)</f>
        <v/>
      </c>
      <c r="F14" s="2" t="n"/>
      <c r="G14" s="2" t="n"/>
    </row>
    <row r="15">
      <c r="A15" s="2" t="n"/>
      <c r="B15" s="2" t="n"/>
      <c r="C15" s="5" t="n"/>
      <c r="D15" s="5" t="n"/>
      <c r="E15" s="4">
        <f>IF(OR($C15="",$D15=""),"",$D15-$C15+1)</f>
        <v/>
      </c>
      <c r="F15" s="2" t="n"/>
      <c r="G15" s="2" t="n"/>
    </row>
    <row r="16">
      <c r="A16" s="2" t="n"/>
      <c r="B16" s="2" t="n"/>
      <c r="C16" s="5" t="n"/>
      <c r="D16" s="5" t="n"/>
      <c r="E16" s="4">
        <f>IF(OR($C16="",$D16=""),"",$D16-$C16+1)</f>
        <v/>
      </c>
      <c r="F16" s="2" t="n"/>
      <c r="G16" s="2" t="n"/>
    </row>
    <row r="17">
      <c r="A17" s="2" t="n"/>
      <c r="B17" s="2" t="n"/>
      <c r="C17" s="5" t="n"/>
      <c r="D17" s="5" t="n"/>
      <c r="E17" s="4">
        <f>IF(OR($C17="",$D17=""),"",$D17-$C17+1)</f>
        <v/>
      </c>
      <c r="F17" s="2" t="n"/>
      <c r="G17" s="2" t="n"/>
    </row>
    <row r="18">
      <c r="A18" s="2" t="n"/>
      <c r="B18" s="2" t="n"/>
      <c r="C18" s="5" t="n"/>
      <c r="D18" s="5" t="n"/>
      <c r="E18" s="4">
        <f>IF(OR($C18="",$D18=""),"",$D18-$C18+1)</f>
        <v/>
      </c>
      <c r="F18" s="2" t="n"/>
      <c r="G18" s="2" t="n"/>
    </row>
    <row r="19">
      <c r="A19" s="2" t="n"/>
      <c r="B19" s="2" t="n"/>
      <c r="C19" s="5" t="n"/>
      <c r="D19" s="5" t="n"/>
      <c r="E19" s="4">
        <f>IF(OR($C19="",$D19=""),"",$D19-$C19+1)</f>
        <v/>
      </c>
      <c r="F19" s="2" t="n"/>
      <c r="G19" s="2" t="n"/>
    </row>
    <row r="20">
      <c r="A20" s="2" t="n"/>
      <c r="B20" s="2" t="n"/>
      <c r="C20" s="5" t="n"/>
      <c r="D20" s="5" t="n"/>
      <c r="E20" s="4">
        <f>IF(OR($C20="",$D20=""),"",$D20-$C20+1)</f>
        <v/>
      </c>
      <c r="F20" s="2" t="n"/>
      <c r="G20" s="2" t="n"/>
    </row>
    <row r="21">
      <c r="A21" s="2" t="n"/>
      <c r="B21" s="2" t="n"/>
      <c r="C21" s="5" t="n"/>
      <c r="D21" s="5" t="n"/>
      <c r="E21" s="4">
        <f>IF(OR($C21="",$D21=""),"",$D21-$C21+1)</f>
        <v/>
      </c>
      <c r="F21" s="2" t="n"/>
      <c r="G21" s="2" t="n"/>
    </row>
    <row r="22">
      <c r="A22" s="2" t="n"/>
      <c r="B22" s="2" t="n"/>
      <c r="C22" s="5" t="n"/>
      <c r="D22" s="5" t="n"/>
      <c r="E22" s="4">
        <f>IF(OR($C22="",$D22=""),"",$D22-$C22+1)</f>
        <v/>
      </c>
      <c r="F22" s="2" t="n"/>
      <c r="G22" s="2" t="n"/>
    </row>
    <row r="23">
      <c r="A23" s="2" t="n"/>
      <c r="B23" s="2" t="n"/>
      <c r="C23" s="5" t="n"/>
      <c r="D23" s="5" t="n"/>
      <c r="E23" s="4">
        <f>IF(OR($C23="",$D23=""),"",$D23-$C23+1)</f>
        <v/>
      </c>
      <c r="F23" s="2" t="n"/>
      <c r="G23" s="2" t="n"/>
    </row>
    <row r="24">
      <c r="A24" s="2" t="n"/>
      <c r="B24" s="2" t="n"/>
      <c r="C24" s="5" t="n"/>
      <c r="D24" s="5" t="n"/>
      <c r="E24" s="4">
        <f>IF(OR($C24="",$D24=""),"",$D24-$C24+1)</f>
        <v/>
      </c>
      <c r="F24" s="2" t="n"/>
      <c r="G24" s="2" t="n"/>
    </row>
    <row r="25">
      <c r="A25" s="2" t="n"/>
      <c r="B25" s="2" t="n"/>
      <c r="C25" s="5" t="n"/>
      <c r="D25" s="5" t="n"/>
      <c r="E25" s="4">
        <f>IF(OR($C25="",$D25=""),"",$D25-$C25+1)</f>
        <v/>
      </c>
      <c r="F25" s="2" t="n"/>
      <c r="G25" s="2" t="n"/>
    </row>
    <row r="26">
      <c r="A26" s="2" t="n"/>
      <c r="B26" s="2" t="n"/>
      <c r="C26" s="5" t="n"/>
      <c r="D26" s="5" t="n"/>
      <c r="E26" s="4">
        <f>IF(OR($C26="",$D26=""),"",$D26-$C26+1)</f>
        <v/>
      </c>
      <c r="F26" s="2" t="n"/>
      <c r="G26" s="2" t="n"/>
    </row>
    <row r="27">
      <c r="A27" s="2" t="n"/>
      <c r="B27" s="2" t="n"/>
      <c r="C27" s="5" t="n"/>
      <c r="D27" s="5" t="n"/>
      <c r="E27" s="4">
        <f>IF(OR($C27="",$D27=""),"",$D27-$C27+1)</f>
        <v/>
      </c>
      <c r="F27" s="2" t="n"/>
      <c r="G27" s="2" t="n"/>
    </row>
    <row r="28">
      <c r="A28" s="2" t="n"/>
      <c r="B28" s="2" t="n"/>
      <c r="C28" s="5" t="n"/>
      <c r="D28" s="5" t="n"/>
      <c r="E28" s="4">
        <f>IF(OR($C28="",$D28=""),"",$D28-$C28+1)</f>
        <v/>
      </c>
      <c r="F28" s="2" t="n"/>
      <c r="G28" s="2" t="n"/>
    </row>
    <row r="29">
      <c r="A29" s="2" t="n"/>
      <c r="B29" s="2" t="n"/>
      <c r="C29" s="5" t="n"/>
      <c r="D29" s="5" t="n"/>
      <c r="E29" s="4">
        <f>IF(OR($C29="",$D29=""),"",$D29-$C29+1)</f>
        <v/>
      </c>
      <c r="F29" s="2" t="n"/>
      <c r="G29" s="2" t="n"/>
    </row>
    <row r="30">
      <c r="A30" s="2" t="n"/>
      <c r="B30" s="2" t="n"/>
      <c r="C30" s="5" t="n"/>
      <c r="D30" s="5" t="n"/>
      <c r="E30" s="4">
        <f>IF(OR($C30="",$D30=""),"",$D30-$C30+1)</f>
        <v/>
      </c>
      <c r="F30" s="2" t="n"/>
      <c r="G30" s="2" t="n"/>
    </row>
    <row r="31">
      <c r="A31" s="2" t="n"/>
      <c r="B31" s="2" t="n"/>
      <c r="C31" s="5" t="n"/>
      <c r="D31" s="5" t="n"/>
      <c r="E31" s="4">
        <f>IF(OR($C31="",$D31=""),"",$D31-$C31+1)</f>
        <v/>
      </c>
      <c r="F31" s="2" t="n"/>
      <c r="G31" s="2" t="n"/>
    </row>
    <row r="32">
      <c r="A32" s="2" t="n"/>
      <c r="B32" s="2" t="n"/>
      <c r="C32" s="5" t="n"/>
      <c r="D32" s="5" t="n"/>
      <c r="E32" s="4">
        <f>IF(OR($C32="",$D32=""),"",$D32-$C32+1)</f>
        <v/>
      </c>
      <c r="F32" s="2" t="n"/>
      <c r="G32" s="2" t="n"/>
    </row>
    <row r="33">
      <c r="A33" s="2" t="n"/>
      <c r="B33" s="2" t="n"/>
      <c r="C33" s="5" t="n"/>
      <c r="D33" s="5" t="n"/>
      <c r="E33" s="4">
        <f>IF(OR($C33="",$D33=""),"",$D33-$C33+1)</f>
        <v/>
      </c>
      <c r="F33" s="2" t="n"/>
      <c r="G33" s="2" t="n"/>
    </row>
    <row r="34">
      <c r="A34" s="2" t="n"/>
      <c r="B34" s="2" t="n"/>
      <c r="C34" s="5" t="n"/>
      <c r="D34" s="5" t="n"/>
      <c r="E34" s="4">
        <f>IF(OR($C34="",$D34=""),"",$D34-$C34+1)</f>
        <v/>
      </c>
      <c r="F34" s="2" t="n"/>
      <c r="G34" s="2" t="n"/>
    </row>
    <row r="35">
      <c r="A35" s="2" t="n"/>
      <c r="B35" s="2" t="n"/>
      <c r="C35" s="5" t="n"/>
      <c r="D35" s="5" t="n"/>
      <c r="E35" s="4">
        <f>IF(OR($C35="",$D35=""),"",$D35-$C35+1)</f>
        <v/>
      </c>
      <c r="F35" s="2" t="n"/>
      <c r="G35" s="2" t="n"/>
    </row>
    <row r="36">
      <c r="A36" s="2" t="n"/>
      <c r="B36" s="2" t="n"/>
      <c r="C36" s="5" t="n"/>
      <c r="D36" s="5" t="n"/>
      <c r="E36" s="4">
        <f>IF(OR($C36="",$D36=""),"",$D36-$C36+1)</f>
        <v/>
      </c>
      <c r="F36" s="2" t="n"/>
      <c r="G36" s="2" t="n"/>
    </row>
    <row r="37">
      <c r="A37" s="2" t="n"/>
      <c r="B37" s="2" t="n"/>
      <c r="C37" s="5" t="n"/>
      <c r="D37" s="5" t="n"/>
      <c r="E37" s="4">
        <f>IF(OR($C37="",$D37=""),"",$D37-$C37+1)</f>
        <v/>
      </c>
      <c r="F37" s="2" t="n"/>
      <c r="G37" s="2" t="n"/>
    </row>
    <row r="38">
      <c r="A38" s="2" t="n"/>
      <c r="B38" s="2" t="n"/>
      <c r="C38" s="5" t="n"/>
      <c r="D38" s="5" t="n"/>
      <c r="E38" s="4">
        <f>IF(OR($C38="",$D38=""),"",$D38-$C38+1)</f>
        <v/>
      </c>
      <c r="F38" s="2" t="n"/>
      <c r="G38" s="2" t="n"/>
    </row>
    <row r="39">
      <c r="A39" s="2" t="n"/>
      <c r="B39" s="2" t="n"/>
      <c r="C39" s="5" t="n"/>
      <c r="D39" s="5" t="n"/>
      <c r="E39" s="4">
        <f>IF(OR($C39="",$D39=""),"",$D39-$C39+1)</f>
        <v/>
      </c>
      <c r="F39" s="2" t="n"/>
      <c r="G39" s="2" t="n"/>
    </row>
    <row r="40">
      <c r="A40" s="2" t="n"/>
      <c r="B40" s="2" t="n"/>
      <c r="C40" s="5" t="n"/>
      <c r="D40" s="5" t="n"/>
      <c r="E40" s="4">
        <f>IF(OR($C40="",$D40=""),"",$D40-$C40+1)</f>
        <v/>
      </c>
      <c r="F40" s="2" t="n"/>
      <c r="G40" s="2" t="n"/>
    </row>
    <row r="41">
      <c r="A41" s="2" t="n"/>
      <c r="B41" s="2" t="n"/>
      <c r="C41" s="5" t="n"/>
      <c r="D41" s="5" t="n"/>
      <c r="E41" s="4">
        <f>IF(OR($C41="",$D41=""),"",$D41-$C41+1)</f>
        <v/>
      </c>
      <c r="F41" s="2" t="n"/>
      <c r="G41" s="2" t="n"/>
    </row>
    <row r="42">
      <c r="A42" s="2" t="n"/>
      <c r="B42" s="2" t="n"/>
      <c r="C42" s="5" t="n"/>
      <c r="D42" s="5" t="n"/>
      <c r="E42" s="4">
        <f>IF(OR($C42="",$D42=""),"",$D42-$C42+1)</f>
        <v/>
      </c>
      <c r="F42" s="2" t="n"/>
      <c r="G42" s="2" t="n"/>
    </row>
    <row r="43">
      <c r="A43" s="2" t="n"/>
      <c r="B43" s="2" t="n"/>
      <c r="C43" s="5" t="n"/>
      <c r="D43" s="5" t="n"/>
      <c r="E43" s="4">
        <f>IF(OR($C43="",$D43=""),"",$D43-$C43+1)</f>
        <v/>
      </c>
      <c r="F43" s="2" t="n"/>
      <c r="G43" s="2" t="n"/>
    </row>
    <row r="44">
      <c r="A44" s="2" t="n"/>
      <c r="B44" s="2" t="n"/>
      <c r="C44" s="5" t="n"/>
      <c r="D44" s="5" t="n"/>
      <c r="E44" s="4">
        <f>IF(OR($C44="",$D44=""),"",$D44-$C44+1)</f>
        <v/>
      </c>
      <c r="F44" s="2" t="n"/>
      <c r="G44" s="2" t="n"/>
    </row>
    <row r="45">
      <c r="A45" s="2" t="n"/>
      <c r="B45" s="2" t="n"/>
      <c r="C45" s="5" t="n"/>
      <c r="D45" s="5" t="n"/>
      <c r="E45" s="4">
        <f>IF(OR($C45="",$D45=""),"",$D45-$C45+1)</f>
        <v/>
      </c>
      <c r="F45" s="2" t="n"/>
      <c r="G45" s="2" t="n"/>
    </row>
    <row r="46">
      <c r="A46" s="2" t="n"/>
      <c r="B46" s="2" t="n"/>
      <c r="C46" s="5" t="n"/>
      <c r="D46" s="5" t="n"/>
      <c r="E46" s="4">
        <f>IF(OR($C46="",$D46=""),"",$D46-$C46+1)</f>
        <v/>
      </c>
      <c r="F46" s="2" t="n"/>
      <c r="G46" s="2" t="n"/>
    </row>
    <row r="47">
      <c r="A47" s="2" t="n"/>
      <c r="B47" s="2" t="n"/>
      <c r="C47" s="5" t="n"/>
      <c r="D47" s="5" t="n"/>
      <c r="E47" s="4">
        <f>IF(OR($C47="",$D47=""),"",$D47-$C47+1)</f>
        <v/>
      </c>
      <c r="F47" s="2" t="n"/>
      <c r="G47" s="2" t="n"/>
    </row>
    <row r="48">
      <c r="A48" s="2" t="n"/>
      <c r="B48" s="2" t="n"/>
      <c r="C48" s="5" t="n"/>
      <c r="D48" s="5" t="n"/>
      <c r="E48" s="4">
        <f>IF(OR($C48="",$D48=""),"",$D48-$C48+1)</f>
        <v/>
      </c>
      <c r="F48" s="2" t="n"/>
      <c r="G48" s="2" t="n"/>
    </row>
    <row r="49">
      <c r="A49" s="2" t="n"/>
      <c r="B49" s="2" t="n"/>
      <c r="C49" s="5" t="n"/>
      <c r="D49" s="5" t="n"/>
      <c r="E49" s="4">
        <f>IF(OR($C49="",$D49=""),"",$D49-$C49+1)</f>
        <v/>
      </c>
      <c r="F49" s="2" t="n"/>
      <c r="G49" s="2" t="n"/>
    </row>
    <row r="50">
      <c r="A50" s="2" t="n"/>
      <c r="B50" s="2" t="n"/>
      <c r="C50" s="5" t="n"/>
      <c r="D50" s="5" t="n"/>
      <c r="E50" s="4">
        <f>IF(OR($C50="",$D50=""),"",$D50-$C50+1)</f>
        <v/>
      </c>
      <c r="F50" s="2" t="n"/>
      <c r="G50" s="2" t="n"/>
    </row>
    <row r="51">
      <c r="A51" s="2" t="n"/>
      <c r="B51" s="2" t="n"/>
      <c r="C51" s="5" t="n"/>
      <c r="D51" s="5" t="n"/>
      <c r="E51" s="4">
        <f>IF(OR($C51="",$D51=""),"",$D51-$C51+1)</f>
        <v/>
      </c>
      <c r="F51" s="2" t="n"/>
      <c r="G51" s="2" t="n"/>
    </row>
    <row r="52">
      <c r="A52" s="2" t="n"/>
      <c r="B52" s="2" t="n"/>
      <c r="C52" s="5" t="n"/>
      <c r="D52" s="5" t="n"/>
      <c r="E52" s="4">
        <f>IF(OR($C52="",$D52=""),"",$D52-$C52+1)</f>
        <v/>
      </c>
      <c r="F52" s="2" t="n"/>
      <c r="G52" s="2" t="n"/>
    </row>
    <row r="53">
      <c r="A53" s="2" t="n"/>
      <c r="B53" s="2" t="n"/>
      <c r="C53" s="5" t="n"/>
      <c r="D53" s="5" t="n"/>
      <c r="E53" s="4">
        <f>IF(OR($C53="",$D53=""),"",$D53-$C53+1)</f>
        <v/>
      </c>
      <c r="F53" s="2" t="n"/>
      <c r="G53" s="2" t="n"/>
    </row>
    <row r="54">
      <c r="A54" s="2" t="n"/>
      <c r="B54" s="2" t="n"/>
      <c r="C54" s="5" t="n"/>
      <c r="D54" s="5" t="n"/>
      <c r="E54" s="4">
        <f>IF(OR($C54="",$D54=""),"",$D54-$C54+1)</f>
        <v/>
      </c>
      <c r="F54" s="2" t="n"/>
      <c r="G54" s="2" t="n"/>
    </row>
    <row r="55">
      <c r="A55" s="2" t="n"/>
      <c r="B55" s="2" t="n"/>
      <c r="C55" s="5" t="n"/>
      <c r="D55" s="5" t="n"/>
      <c r="E55" s="4">
        <f>IF(OR($C55="",$D55=""),"",$D55-$C55+1)</f>
        <v/>
      </c>
      <c r="F55" s="2" t="n"/>
      <c r="G55" s="2" t="n"/>
    </row>
    <row r="56">
      <c r="A56" s="2" t="n"/>
      <c r="B56" s="2" t="n"/>
      <c r="C56" s="5" t="n"/>
      <c r="D56" s="5" t="n"/>
      <c r="E56" s="4">
        <f>IF(OR($C56="",$D56=""),"",$D56-$C56+1)</f>
        <v/>
      </c>
      <c r="F56" s="2" t="n"/>
      <c r="G56" s="2" t="n"/>
    </row>
    <row r="57">
      <c r="A57" s="2" t="n"/>
      <c r="B57" s="2" t="n"/>
      <c r="C57" s="5" t="n"/>
      <c r="D57" s="5" t="n"/>
      <c r="E57" s="4">
        <f>IF(OR($C57="",$D57=""),"",$D57-$C57+1)</f>
        <v/>
      </c>
      <c r="F57" s="2" t="n"/>
      <c r="G57" s="2" t="n"/>
    </row>
    <row r="58">
      <c r="A58" s="2" t="n"/>
      <c r="B58" s="2" t="n"/>
      <c r="C58" s="5" t="n"/>
      <c r="D58" s="5" t="n"/>
      <c r="E58" s="4">
        <f>IF(OR($C58="",$D58=""),"",$D58-$C58+1)</f>
        <v/>
      </c>
      <c r="F58" s="2" t="n"/>
      <c r="G58" s="2" t="n"/>
    </row>
    <row r="59">
      <c r="A59" s="2" t="n"/>
      <c r="B59" s="2" t="n"/>
      <c r="C59" s="5" t="n"/>
      <c r="D59" s="5" t="n"/>
      <c r="E59" s="4">
        <f>IF(OR($C59="",$D59=""),"",$D59-$C59+1)</f>
        <v/>
      </c>
      <c r="F59" s="2" t="n"/>
      <c r="G59" s="2" t="n"/>
    </row>
    <row r="60">
      <c r="A60" s="2" t="n"/>
      <c r="B60" s="2" t="n"/>
      <c r="C60" s="5" t="n"/>
      <c r="D60" s="5" t="n"/>
      <c r="E60" s="4">
        <f>IF(OR($C60="",$D60=""),"",$D60-$C60+1)</f>
        <v/>
      </c>
      <c r="F60" s="2" t="n"/>
      <c r="G60" s="2" t="n"/>
    </row>
    <row r="61">
      <c r="A61" s="2" t="n"/>
      <c r="B61" s="2" t="n"/>
      <c r="C61" s="5" t="n"/>
      <c r="D61" s="5" t="n"/>
      <c r="E61" s="4">
        <f>IF(OR($C61="",$D61=""),"",$D61-$C61+1)</f>
        <v/>
      </c>
      <c r="F61" s="2" t="n"/>
      <c r="G61" s="2" t="n"/>
    </row>
    <row r="62">
      <c r="A62" s="2" t="n"/>
      <c r="B62" s="2" t="n"/>
      <c r="C62" s="5" t="n"/>
      <c r="D62" s="5" t="n"/>
      <c r="E62" s="4">
        <f>IF(OR($C62="",$D62=""),"",$D62-$C62+1)</f>
        <v/>
      </c>
      <c r="F62" s="2" t="n"/>
      <c r="G62" s="2" t="n"/>
    </row>
    <row r="63">
      <c r="A63" s="2" t="n"/>
      <c r="B63" s="2" t="n"/>
      <c r="C63" s="5" t="n"/>
      <c r="D63" s="5" t="n"/>
      <c r="E63" s="4">
        <f>IF(OR($C63="",$D63=""),"",$D63-$C63+1)</f>
        <v/>
      </c>
      <c r="F63" s="2" t="n"/>
      <c r="G63" s="2" t="n"/>
    </row>
    <row r="64">
      <c r="A64" s="2" t="n"/>
      <c r="B64" s="2" t="n"/>
      <c r="C64" s="5" t="n"/>
      <c r="D64" s="5" t="n"/>
      <c r="E64" s="4">
        <f>IF(OR($C64="",$D64=""),"",$D64-$C64+1)</f>
        <v/>
      </c>
      <c r="F64" s="2" t="n"/>
      <c r="G64" s="2" t="n"/>
    </row>
    <row r="65">
      <c r="A65" s="2" t="n"/>
      <c r="B65" s="2" t="n"/>
      <c r="C65" s="5" t="n"/>
      <c r="D65" s="5" t="n"/>
      <c r="E65" s="4">
        <f>IF(OR($C65="",$D65=""),"",$D65-$C65+1)</f>
        <v/>
      </c>
      <c r="F65" s="2" t="n"/>
      <c r="G65" s="2" t="n"/>
    </row>
    <row r="66">
      <c r="A66" s="2" t="n"/>
      <c r="B66" s="2" t="n"/>
      <c r="C66" s="5" t="n"/>
      <c r="D66" s="5" t="n"/>
      <c r="E66" s="4">
        <f>IF(OR($C66="",$D66=""),"",$D66-$C66+1)</f>
        <v/>
      </c>
      <c r="F66" s="2" t="n"/>
      <c r="G66" s="2" t="n"/>
    </row>
    <row r="67">
      <c r="A67" s="2" t="n"/>
      <c r="B67" s="2" t="n"/>
      <c r="C67" s="5" t="n"/>
      <c r="D67" s="5" t="n"/>
      <c r="E67" s="4">
        <f>IF(OR($C67="",$D67=""),"",$D67-$C67+1)</f>
        <v/>
      </c>
      <c r="F67" s="2" t="n"/>
      <c r="G67" s="2" t="n"/>
    </row>
    <row r="68">
      <c r="A68" s="2" t="n"/>
      <c r="B68" s="2" t="n"/>
      <c r="C68" s="5" t="n"/>
      <c r="D68" s="5" t="n"/>
      <c r="E68" s="4">
        <f>IF(OR($C68="",$D68=""),"",$D68-$C68+1)</f>
        <v/>
      </c>
      <c r="F68" s="2" t="n"/>
      <c r="G68" s="2" t="n"/>
    </row>
    <row r="69">
      <c r="A69" s="2" t="n"/>
      <c r="B69" s="2" t="n"/>
      <c r="C69" s="5" t="n"/>
      <c r="D69" s="5" t="n"/>
      <c r="E69" s="4">
        <f>IF(OR($C69="",$D69=""),"",$D69-$C69+1)</f>
        <v/>
      </c>
      <c r="F69" s="2" t="n"/>
      <c r="G69" s="2" t="n"/>
    </row>
    <row r="70">
      <c r="A70" s="2" t="n"/>
      <c r="B70" s="2" t="n"/>
      <c r="C70" s="5" t="n"/>
      <c r="D70" s="5" t="n"/>
      <c r="E70" s="4">
        <f>IF(OR($C70="",$D70=""),"",$D70-$C70+1)</f>
        <v/>
      </c>
      <c r="F70" s="2" t="n"/>
      <c r="G70" s="2" t="n"/>
    </row>
    <row r="71">
      <c r="A71" s="2" t="n"/>
      <c r="B71" s="2" t="n"/>
      <c r="C71" s="5" t="n"/>
      <c r="D71" s="5" t="n"/>
      <c r="E71" s="4">
        <f>IF(OR($C71="",$D71=""),"",$D71-$C71+1)</f>
        <v/>
      </c>
      <c r="F71" s="2" t="n"/>
      <c r="G71" s="2" t="n"/>
    </row>
    <row r="72">
      <c r="A72" s="2" t="n"/>
      <c r="B72" s="2" t="n"/>
      <c r="C72" s="5" t="n"/>
      <c r="D72" s="5" t="n"/>
      <c r="E72" s="4">
        <f>IF(OR($C72="",$D72=""),"",$D72-$C72+1)</f>
        <v/>
      </c>
      <c r="F72" s="2" t="n"/>
      <c r="G72" s="2" t="n"/>
    </row>
    <row r="73">
      <c r="A73" s="2" t="n"/>
      <c r="B73" s="2" t="n"/>
      <c r="C73" s="5" t="n"/>
      <c r="D73" s="5" t="n"/>
      <c r="E73" s="4">
        <f>IF(OR($C73="",$D73=""),"",$D73-$C73+1)</f>
        <v/>
      </c>
      <c r="F73" s="2" t="n"/>
      <c r="G73" s="2" t="n"/>
    </row>
    <row r="74">
      <c r="A74" s="2" t="n"/>
      <c r="B74" s="2" t="n"/>
      <c r="C74" s="5" t="n"/>
      <c r="D74" s="5" t="n"/>
      <c r="E74" s="4">
        <f>IF(OR($C74="",$D74=""),"",$D74-$C74+1)</f>
        <v/>
      </c>
      <c r="F74" s="2" t="n"/>
      <c r="G74" s="2" t="n"/>
    </row>
    <row r="75">
      <c r="A75" s="2" t="n"/>
      <c r="B75" s="2" t="n"/>
      <c r="C75" s="5" t="n"/>
      <c r="D75" s="5" t="n"/>
      <c r="E75" s="4">
        <f>IF(OR($C75="",$D75=""),"",$D75-$C75+1)</f>
        <v/>
      </c>
      <c r="F75" s="2" t="n"/>
      <c r="G75" s="2" t="n"/>
    </row>
    <row r="76">
      <c r="A76" s="2" t="n"/>
      <c r="B76" s="2" t="n"/>
      <c r="C76" s="5" t="n"/>
      <c r="D76" s="5" t="n"/>
      <c r="E76" s="4">
        <f>IF(OR($C76="",$D76=""),"",$D76-$C76+1)</f>
        <v/>
      </c>
      <c r="F76" s="2" t="n"/>
      <c r="G76" s="2" t="n"/>
    </row>
    <row r="77">
      <c r="A77" s="2" t="n"/>
      <c r="B77" s="2" t="n"/>
      <c r="C77" s="5" t="n"/>
      <c r="D77" s="5" t="n"/>
      <c r="E77" s="4">
        <f>IF(OR($C77="",$D77=""),"",$D77-$C77+1)</f>
        <v/>
      </c>
      <c r="F77" s="2" t="n"/>
      <c r="G77" s="2" t="n"/>
    </row>
    <row r="78">
      <c r="A78" s="2" t="n"/>
      <c r="B78" s="2" t="n"/>
      <c r="C78" s="5" t="n"/>
      <c r="D78" s="5" t="n"/>
      <c r="E78" s="4">
        <f>IF(OR($C78="",$D78=""),"",$D78-$C78+1)</f>
        <v/>
      </c>
      <c r="F78" s="2" t="n"/>
      <c r="G78" s="2" t="n"/>
    </row>
    <row r="79">
      <c r="A79" s="2" t="n"/>
      <c r="B79" s="2" t="n"/>
      <c r="C79" s="5" t="n"/>
      <c r="D79" s="5" t="n"/>
      <c r="E79" s="4">
        <f>IF(OR($C79="",$D79=""),"",$D79-$C79+1)</f>
        <v/>
      </c>
      <c r="F79" s="2" t="n"/>
      <c r="G79" s="2" t="n"/>
    </row>
    <row r="80">
      <c r="A80" s="2" t="n"/>
      <c r="B80" s="2" t="n"/>
      <c r="C80" s="5" t="n"/>
      <c r="D80" s="5" t="n"/>
      <c r="E80" s="4">
        <f>IF(OR($C80="",$D80=""),"",$D80-$C80+1)</f>
        <v/>
      </c>
      <c r="F80" s="2" t="n"/>
      <c r="G80" s="2" t="n"/>
    </row>
    <row r="81">
      <c r="A81" s="2" t="n"/>
      <c r="B81" s="2" t="n"/>
      <c r="C81" s="5" t="n"/>
      <c r="D81" s="5" t="n"/>
      <c r="E81" s="4">
        <f>IF(OR($C81="",$D81=""),"",$D81-$C81+1)</f>
        <v/>
      </c>
      <c r="F81" s="2" t="n"/>
      <c r="G81" s="2" t="n"/>
    </row>
    <row r="82">
      <c r="A82" s="2" t="n"/>
      <c r="B82" s="2" t="n"/>
      <c r="C82" s="5" t="n"/>
      <c r="D82" s="5" t="n"/>
      <c r="E82" s="4">
        <f>IF(OR($C82="",$D82=""),"",$D82-$C82+1)</f>
        <v/>
      </c>
      <c r="F82" s="2" t="n"/>
      <c r="G82" s="2" t="n"/>
    </row>
    <row r="83">
      <c r="A83" s="2" t="n"/>
      <c r="B83" s="2" t="n"/>
      <c r="C83" s="5" t="n"/>
      <c r="D83" s="5" t="n"/>
      <c r="E83" s="4">
        <f>IF(OR($C83="",$D83=""),"",$D83-$C83+1)</f>
        <v/>
      </c>
      <c r="F83" s="2" t="n"/>
      <c r="G83" s="2" t="n"/>
    </row>
    <row r="84">
      <c r="A84" s="2" t="n"/>
      <c r="B84" s="2" t="n"/>
      <c r="C84" s="5" t="n"/>
      <c r="D84" s="5" t="n"/>
      <c r="E84" s="4">
        <f>IF(OR($C84="",$D84=""),"",$D84-$C84+1)</f>
        <v/>
      </c>
      <c r="F84" s="2" t="n"/>
      <c r="G84" s="2" t="n"/>
    </row>
    <row r="85">
      <c r="A85" s="2" t="n"/>
      <c r="B85" s="2" t="n"/>
      <c r="C85" s="5" t="n"/>
      <c r="D85" s="5" t="n"/>
      <c r="E85" s="4">
        <f>IF(OR($C85="",$D85=""),"",$D85-$C85+1)</f>
        <v/>
      </c>
      <c r="F85" s="2" t="n"/>
      <c r="G85" s="2" t="n"/>
    </row>
    <row r="86">
      <c r="A86" s="2" t="n"/>
      <c r="B86" s="2" t="n"/>
      <c r="C86" s="5" t="n"/>
      <c r="D86" s="5" t="n"/>
      <c r="E86" s="4">
        <f>IF(OR($C86="",$D86=""),"",$D86-$C86+1)</f>
        <v/>
      </c>
      <c r="F86" s="2" t="n"/>
      <c r="G86" s="2" t="n"/>
    </row>
    <row r="87">
      <c r="A87" s="2" t="n"/>
      <c r="B87" s="2" t="n"/>
      <c r="C87" s="5" t="n"/>
      <c r="D87" s="5" t="n"/>
      <c r="E87" s="4">
        <f>IF(OR($C87="",$D87=""),"",$D87-$C87+1)</f>
        <v/>
      </c>
      <c r="F87" s="2" t="n"/>
      <c r="G87" s="2" t="n"/>
    </row>
    <row r="88">
      <c r="A88" s="2" t="n"/>
      <c r="B88" s="2" t="n"/>
      <c r="C88" s="5" t="n"/>
      <c r="D88" s="5" t="n"/>
      <c r="E88" s="4">
        <f>IF(OR($C88="",$D88=""),"",$D88-$C88+1)</f>
        <v/>
      </c>
      <c r="F88" s="2" t="n"/>
      <c r="G88" s="2" t="n"/>
    </row>
    <row r="89">
      <c r="A89" s="2" t="n"/>
      <c r="B89" s="2" t="n"/>
      <c r="C89" s="5" t="n"/>
      <c r="D89" s="5" t="n"/>
      <c r="E89" s="4">
        <f>IF(OR($C89="",$D89=""),"",$D89-$C89+1)</f>
        <v/>
      </c>
      <c r="F89" s="2" t="n"/>
      <c r="G89" s="2" t="n"/>
    </row>
    <row r="90">
      <c r="A90" s="2" t="n"/>
      <c r="B90" s="2" t="n"/>
      <c r="C90" s="5" t="n"/>
      <c r="D90" s="5" t="n"/>
      <c r="E90" s="4">
        <f>IF(OR($C90="",$D90=""),"",$D90-$C90+1)</f>
        <v/>
      </c>
      <c r="F90" s="2" t="n"/>
      <c r="G90" s="2" t="n"/>
    </row>
    <row r="91">
      <c r="A91" s="2" t="n"/>
      <c r="B91" s="2" t="n"/>
      <c r="C91" s="5" t="n"/>
      <c r="D91" s="5" t="n"/>
      <c r="E91" s="4">
        <f>IF(OR($C91="",$D91=""),"",$D91-$C91+1)</f>
        <v/>
      </c>
      <c r="F91" s="2" t="n"/>
      <c r="G91" s="2" t="n"/>
    </row>
    <row r="92">
      <c r="A92" s="2" t="n"/>
      <c r="B92" s="2" t="n"/>
      <c r="C92" s="5" t="n"/>
      <c r="D92" s="5" t="n"/>
      <c r="E92" s="4">
        <f>IF(OR($C92="",$D92=""),"",$D92-$C92+1)</f>
        <v/>
      </c>
      <c r="F92" s="2" t="n"/>
      <c r="G92" s="2" t="n"/>
    </row>
    <row r="93">
      <c r="A93" s="2" t="n"/>
      <c r="B93" s="2" t="n"/>
      <c r="C93" s="5" t="n"/>
      <c r="D93" s="5" t="n"/>
      <c r="E93" s="4">
        <f>IF(OR($C93="",$D93=""),"",$D93-$C93+1)</f>
        <v/>
      </c>
      <c r="F93" s="2" t="n"/>
      <c r="G93" s="2" t="n"/>
    </row>
    <row r="94">
      <c r="A94" s="2" t="n"/>
      <c r="B94" s="2" t="n"/>
      <c r="C94" s="5" t="n"/>
      <c r="D94" s="5" t="n"/>
      <c r="E94" s="4">
        <f>IF(OR($C94="",$D94=""),"",$D94-$C94+1)</f>
        <v/>
      </c>
      <c r="F94" s="2" t="n"/>
      <c r="G94" s="2" t="n"/>
    </row>
    <row r="95">
      <c r="A95" s="2" t="n"/>
      <c r="B95" s="2" t="n"/>
      <c r="C95" s="5" t="n"/>
      <c r="D95" s="5" t="n"/>
      <c r="E95" s="4">
        <f>IF(OR($C95="",$D95=""),"",$D95-$C95+1)</f>
        <v/>
      </c>
      <c r="F95" s="2" t="n"/>
      <c r="G95" s="2" t="n"/>
    </row>
    <row r="96">
      <c r="A96" s="2" t="n"/>
      <c r="B96" s="2" t="n"/>
      <c r="C96" s="5" t="n"/>
      <c r="D96" s="5" t="n"/>
      <c r="E96" s="4">
        <f>IF(OR($C96="",$D96=""),"",$D96-$C96+1)</f>
        <v/>
      </c>
      <c r="F96" s="2" t="n"/>
      <c r="G96" s="2" t="n"/>
    </row>
    <row r="97">
      <c r="A97" s="2" t="n"/>
      <c r="B97" s="2" t="n"/>
      <c r="C97" s="5" t="n"/>
      <c r="D97" s="5" t="n"/>
      <c r="E97" s="4">
        <f>IF(OR($C97="",$D97=""),"",$D97-$C97+1)</f>
        <v/>
      </c>
      <c r="F97" s="2" t="n"/>
      <c r="G97" s="2" t="n"/>
    </row>
    <row r="98">
      <c r="A98" s="2" t="n"/>
      <c r="B98" s="2" t="n"/>
      <c r="C98" s="5" t="n"/>
      <c r="D98" s="5" t="n"/>
      <c r="E98" s="4">
        <f>IF(OR($C98="",$D98=""),"",$D98-$C98+1)</f>
        <v/>
      </c>
      <c r="F98" s="2" t="n"/>
      <c r="G98" s="2" t="n"/>
    </row>
    <row r="99">
      <c r="A99" s="2" t="n"/>
      <c r="B99" s="2" t="n"/>
      <c r="C99" s="5" t="n"/>
      <c r="D99" s="5" t="n"/>
      <c r="E99" s="4">
        <f>IF(OR($C99="",$D99=""),"",$D99-$C99+1)</f>
        <v/>
      </c>
      <c r="F99" s="2" t="n"/>
      <c r="G99" s="2" t="n"/>
    </row>
    <row r="100">
      <c r="A100" s="2" t="n"/>
      <c r="B100" s="2" t="n"/>
      <c r="C100" s="5" t="n"/>
      <c r="D100" s="5" t="n"/>
      <c r="E100" s="4">
        <f>IF(OR($C100="",$D100=""),"",$D100-$C100+1)</f>
        <v/>
      </c>
      <c r="F100" s="2" t="n"/>
      <c r="G100" s="2" t="n"/>
    </row>
    <row r="101">
      <c r="A101" s="2" t="n"/>
      <c r="B101" s="2" t="n"/>
      <c r="C101" s="5" t="n"/>
      <c r="D101" s="5" t="n"/>
      <c r="E101" s="4">
        <f>IF(OR($C101="",$D101=""),"",$D101-$C101+1)</f>
        <v/>
      </c>
      <c r="F101" s="2" t="n"/>
      <c r="G101" s="2" t="n"/>
    </row>
    <row r="102">
      <c r="A102" s="2" t="n"/>
      <c r="B102" s="2" t="n"/>
      <c r="C102" s="5" t="n"/>
      <c r="D102" s="5" t="n"/>
      <c r="E102" s="4">
        <f>IF(OR($C102="",$D102=""),"",$D102-$C102+1)</f>
        <v/>
      </c>
      <c r="F102" s="2" t="n"/>
      <c r="G102" s="2" t="n"/>
    </row>
    <row r="103">
      <c r="A103" s="2" t="n"/>
      <c r="B103" s="2" t="n"/>
      <c r="C103" s="5" t="n"/>
      <c r="D103" s="5" t="n"/>
      <c r="E103" s="4">
        <f>IF(OR($C103="",$D103=""),"",$D103-$C103+1)</f>
        <v/>
      </c>
      <c r="F103" s="2" t="n"/>
      <c r="G103" s="2" t="n"/>
    </row>
    <row r="104">
      <c r="A104" s="2" t="n"/>
      <c r="B104" s="2" t="n"/>
      <c r="C104" s="5" t="n"/>
      <c r="D104" s="5" t="n"/>
      <c r="E104" s="4">
        <f>IF(OR($C104="",$D104=""),"",$D104-$C104+1)</f>
        <v/>
      </c>
      <c r="F104" s="2" t="n"/>
      <c r="G104" s="2" t="n"/>
    </row>
    <row r="105">
      <c r="A105" s="2" t="n"/>
      <c r="B105" s="2" t="n"/>
      <c r="C105" s="5" t="n"/>
      <c r="D105" s="5" t="n"/>
      <c r="E105" s="4">
        <f>IF(OR($C105="",$D105=""),"",$D105-$C105+1)</f>
        <v/>
      </c>
      <c r="F105" s="2" t="n"/>
      <c r="G105" s="2" t="n"/>
    </row>
    <row r="106">
      <c r="A106" s="2" t="n"/>
      <c r="B106" s="2" t="n"/>
      <c r="C106" s="5" t="n"/>
      <c r="D106" s="5" t="n"/>
      <c r="E106" s="4">
        <f>IF(OR($C106="",$D106=""),"",$D106-$C106+1)</f>
        <v/>
      </c>
      <c r="F106" s="2" t="n"/>
      <c r="G106" s="2" t="n"/>
    </row>
    <row r="107">
      <c r="A107" s="2" t="n"/>
      <c r="B107" s="2" t="n"/>
      <c r="C107" s="5" t="n"/>
      <c r="D107" s="5" t="n"/>
      <c r="E107" s="4">
        <f>IF(OR($C107="",$D107=""),"",$D107-$C107+1)</f>
        <v/>
      </c>
      <c r="F107" s="2" t="n"/>
      <c r="G107" s="2" t="n"/>
    </row>
    <row r="108">
      <c r="A108" s="2" t="n"/>
      <c r="B108" s="2" t="n"/>
      <c r="C108" s="5" t="n"/>
      <c r="D108" s="5" t="n"/>
      <c r="E108" s="4">
        <f>IF(OR($C108="",$D108=""),"",$D108-$C108+1)</f>
        <v/>
      </c>
      <c r="F108" s="2" t="n"/>
      <c r="G108" s="2" t="n"/>
    </row>
    <row r="109">
      <c r="A109" s="2" t="n"/>
      <c r="B109" s="2" t="n"/>
      <c r="C109" s="5" t="n"/>
      <c r="D109" s="5" t="n"/>
      <c r="E109" s="4">
        <f>IF(OR($C109="",$D109=""),"",$D109-$C109+1)</f>
        <v/>
      </c>
      <c r="F109" s="2" t="n"/>
      <c r="G109" s="2" t="n"/>
    </row>
    <row r="110">
      <c r="A110" s="2" t="n"/>
      <c r="B110" s="2" t="n"/>
      <c r="C110" s="5" t="n"/>
      <c r="D110" s="5" t="n"/>
      <c r="E110" s="4">
        <f>IF(OR($C110="",$D110=""),"",$D110-$C110+1)</f>
        <v/>
      </c>
      <c r="F110" s="2" t="n"/>
      <c r="G110" s="2" t="n"/>
    </row>
    <row r="111">
      <c r="A111" s="2" t="n"/>
      <c r="B111" s="2" t="n"/>
      <c r="C111" s="5" t="n"/>
      <c r="D111" s="5" t="n"/>
      <c r="E111" s="4">
        <f>IF(OR($C111="",$D111=""),"",$D111-$C111+1)</f>
        <v/>
      </c>
      <c r="F111" s="2" t="n"/>
      <c r="G111" s="2" t="n"/>
    </row>
    <row r="112">
      <c r="A112" s="2" t="n"/>
      <c r="B112" s="2" t="n"/>
      <c r="C112" s="5" t="n"/>
      <c r="D112" s="5" t="n"/>
      <c r="E112" s="4">
        <f>IF(OR($C112="",$D112=""),"",$D112-$C112+1)</f>
        <v/>
      </c>
      <c r="F112" s="2" t="n"/>
      <c r="G112" s="2" t="n"/>
    </row>
    <row r="113">
      <c r="A113" s="2" t="n"/>
      <c r="B113" s="2" t="n"/>
      <c r="C113" s="5" t="n"/>
      <c r="D113" s="5" t="n"/>
      <c r="E113" s="4">
        <f>IF(OR($C113="",$D113=""),"",$D113-$C113+1)</f>
        <v/>
      </c>
      <c r="F113" s="2" t="n"/>
      <c r="G113" s="2" t="n"/>
    </row>
    <row r="114">
      <c r="A114" s="2" t="n"/>
      <c r="B114" s="2" t="n"/>
      <c r="C114" s="5" t="n"/>
      <c r="D114" s="5" t="n"/>
      <c r="E114" s="4">
        <f>IF(OR($C114="",$D114=""),"",$D114-$C114+1)</f>
        <v/>
      </c>
      <c r="F114" s="2" t="n"/>
      <c r="G114" s="2" t="n"/>
    </row>
    <row r="115">
      <c r="A115" s="2" t="n"/>
      <c r="B115" s="2" t="n"/>
      <c r="C115" s="5" t="n"/>
      <c r="D115" s="5" t="n"/>
      <c r="E115" s="4">
        <f>IF(OR($C115="",$D115=""),"",$D115-$C115+1)</f>
        <v/>
      </c>
      <c r="F115" s="2" t="n"/>
      <c r="G115" s="2" t="n"/>
    </row>
    <row r="116">
      <c r="A116" s="2" t="n"/>
      <c r="B116" s="2" t="n"/>
      <c r="C116" s="5" t="n"/>
      <c r="D116" s="5" t="n"/>
      <c r="E116" s="4">
        <f>IF(OR($C116="",$D116=""),"",$D116-$C116+1)</f>
        <v/>
      </c>
      <c r="F116" s="2" t="n"/>
      <c r="G116" s="2" t="n"/>
    </row>
    <row r="117">
      <c r="A117" s="2" t="n"/>
      <c r="B117" s="2" t="n"/>
      <c r="C117" s="5" t="n"/>
      <c r="D117" s="5" t="n"/>
      <c r="E117" s="4">
        <f>IF(OR($C117="",$D117=""),"",$D117-$C117+1)</f>
        <v/>
      </c>
      <c r="F117" s="2" t="n"/>
      <c r="G117" s="2" t="n"/>
    </row>
    <row r="118">
      <c r="A118" s="2" t="n"/>
      <c r="B118" s="2" t="n"/>
      <c r="C118" s="5" t="n"/>
      <c r="D118" s="5" t="n"/>
      <c r="E118" s="4">
        <f>IF(OR($C118="",$D118=""),"",$D118-$C118+1)</f>
        <v/>
      </c>
      <c r="F118" s="2" t="n"/>
      <c r="G118" s="2" t="n"/>
    </row>
    <row r="119">
      <c r="A119" s="2" t="n"/>
      <c r="B119" s="2" t="n"/>
      <c r="C119" s="5" t="n"/>
      <c r="D119" s="5" t="n"/>
      <c r="E119" s="4">
        <f>IF(OR($C119="",$D119=""),"",$D119-$C119+1)</f>
        <v/>
      </c>
      <c r="F119" s="2" t="n"/>
      <c r="G119" s="2" t="n"/>
    </row>
    <row r="120">
      <c r="A120" s="2" t="n"/>
      <c r="B120" s="2" t="n"/>
      <c r="C120" s="5" t="n"/>
      <c r="D120" s="5" t="n"/>
      <c r="E120" s="4">
        <f>IF(OR($C120="",$D120=""),"",$D120-$C120+1)</f>
        <v/>
      </c>
      <c r="F120" s="2" t="n"/>
      <c r="G120" s="2" t="n"/>
    </row>
    <row r="121">
      <c r="A121" s="2" t="n"/>
      <c r="B121" s="2" t="n"/>
      <c r="C121" s="5" t="n"/>
      <c r="D121" s="5" t="n"/>
      <c r="E121" s="4">
        <f>IF(OR($C121="",$D121=""),"",$D121-$C121+1)</f>
        <v/>
      </c>
      <c r="F121" s="2" t="n"/>
      <c r="G121" s="2" t="n"/>
    </row>
    <row r="122">
      <c r="A122" s="2" t="n"/>
      <c r="B122" s="2" t="n"/>
      <c r="C122" s="5" t="n"/>
      <c r="D122" s="5" t="n"/>
      <c r="E122" s="4">
        <f>IF(OR($C122="",$D122=""),"",$D122-$C122+1)</f>
        <v/>
      </c>
      <c r="F122" s="2" t="n"/>
      <c r="G122" s="2" t="n"/>
    </row>
    <row r="123">
      <c r="A123" s="2" t="n"/>
      <c r="B123" s="2" t="n"/>
      <c r="C123" s="5" t="n"/>
      <c r="D123" s="5" t="n"/>
      <c r="E123" s="4">
        <f>IF(OR($C123="",$D123=""),"",$D123-$C123+1)</f>
        <v/>
      </c>
      <c r="F123" s="2" t="n"/>
      <c r="G123" s="2" t="n"/>
    </row>
    <row r="124">
      <c r="A124" s="2" t="n"/>
      <c r="B124" s="2" t="n"/>
      <c r="C124" s="5" t="n"/>
      <c r="D124" s="5" t="n"/>
      <c r="E124" s="4">
        <f>IF(OR($C124="",$D124=""),"",$D124-$C124+1)</f>
        <v/>
      </c>
      <c r="F124" s="2" t="n"/>
      <c r="G124" s="2" t="n"/>
    </row>
    <row r="125">
      <c r="A125" s="2" t="n"/>
      <c r="B125" s="2" t="n"/>
      <c r="C125" s="5" t="n"/>
      <c r="D125" s="5" t="n"/>
      <c r="E125" s="4">
        <f>IF(OR($C125="",$D125=""),"",$D125-$C125+1)</f>
        <v/>
      </c>
      <c r="F125" s="2" t="n"/>
      <c r="G125" s="2" t="n"/>
    </row>
    <row r="126">
      <c r="A126" s="2" t="n"/>
      <c r="B126" s="2" t="n"/>
      <c r="C126" s="5" t="n"/>
      <c r="D126" s="5" t="n"/>
      <c r="E126" s="4">
        <f>IF(OR($C126="",$D126=""),"",$D126-$C126+1)</f>
        <v/>
      </c>
      <c r="F126" s="2" t="n"/>
      <c r="G126" s="2" t="n"/>
    </row>
    <row r="127">
      <c r="A127" s="2" t="n"/>
      <c r="B127" s="2" t="n"/>
      <c r="C127" s="5" t="n"/>
      <c r="D127" s="5" t="n"/>
      <c r="E127" s="4">
        <f>IF(OR($C127="",$D127=""),"",$D127-$C127+1)</f>
        <v/>
      </c>
      <c r="F127" s="2" t="n"/>
      <c r="G127" s="2" t="n"/>
    </row>
    <row r="128">
      <c r="A128" s="2" t="n"/>
      <c r="B128" s="2" t="n"/>
      <c r="C128" s="5" t="n"/>
      <c r="D128" s="5" t="n"/>
      <c r="E128" s="4">
        <f>IF(OR($C128="",$D128=""),"",$D128-$C128+1)</f>
        <v/>
      </c>
      <c r="F128" s="2" t="n"/>
      <c r="G128" s="2" t="n"/>
    </row>
    <row r="129">
      <c r="A129" s="2" t="n"/>
      <c r="B129" s="2" t="n"/>
      <c r="C129" s="5" t="n"/>
      <c r="D129" s="5" t="n"/>
      <c r="E129" s="4">
        <f>IF(OR($C129="",$D129=""),"",$D129-$C129+1)</f>
        <v/>
      </c>
      <c r="F129" s="2" t="n"/>
      <c r="G129" s="2" t="n"/>
    </row>
    <row r="130">
      <c r="A130" s="2" t="n"/>
      <c r="B130" s="2" t="n"/>
      <c r="C130" s="5" t="n"/>
      <c r="D130" s="5" t="n"/>
      <c r="E130" s="4">
        <f>IF(OR($C130="",$D130=""),"",$D130-$C130+1)</f>
        <v/>
      </c>
      <c r="F130" s="2" t="n"/>
      <c r="G130" s="2" t="n"/>
    </row>
    <row r="131">
      <c r="A131" s="2" t="n"/>
      <c r="B131" s="2" t="n"/>
      <c r="C131" s="5" t="n"/>
      <c r="D131" s="5" t="n"/>
      <c r="E131" s="4">
        <f>IF(OR($C131="",$D131=""),"",$D131-$C131+1)</f>
        <v/>
      </c>
      <c r="F131" s="2" t="n"/>
      <c r="G131" s="2" t="n"/>
    </row>
    <row r="132">
      <c r="A132" s="2" t="n"/>
      <c r="B132" s="2" t="n"/>
      <c r="C132" s="5" t="n"/>
      <c r="D132" s="5" t="n"/>
      <c r="E132" s="4">
        <f>IF(OR($C132="",$D132=""),"",$D132-$C132+1)</f>
        <v/>
      </c>
      <c r="F132" s="2" t="n"/>
      <c r="G132" s="2" t="n"/>
    </row>
    <row r="133">
      <c r="A133" s="2" t="n"/>
      <c r="B133" s="2" t="n"/>
      <c r="C133" s="5" t="n"/>
      <c r="D133" s="5" t="n"/>
      <c r="E133" s="4">
        <f>IF(OR($C133="",$D133=""),"",$D133-$C133+1)</f>
        <v/>
      </c>
      <c r="F133" s="2" t="n"/>
      <c r="G133" s="2" t="n"/>
    </row>
    <row r="134">
      <c r="A134" s="2" t="n"/>
      <c r="B134" s="2" t="n"/>
      <c r="C134" s="5" t="n"/>
      <c r="D134" s="5" t="n"/>
      <c r="E134" s="4">
        <f>IF(OR($C134="",$D134=""),"",$D134-$C134+1)</f>
        <v/>
      </c>
      <c r="F134" s="2" t="n"/>
      <c r="G134" s="2" t="n"/>
    </row>
    <row r="135">
      <c r="A135" s="2" t="n"/>
      <c r="B135" s="2" t="n"/>
      <c r="C135" s="5" t="n"/>
      <c r="D135" s="5" t="n"/>
      <c r="E135" s="4">
        <f>IF(OR($C135="",$D135=""),"",$D135-$C135+1)</f>
        <v/>
      </c>
      <c r="F135" s="2" t="n"/>
      <c r="G135" s="2" t="n"/>
    </row>
    <row r="136">
      <c r="A136" s="2" t="n"/>
      <c r="B136" s="2" t="n"/>
      <c r="C136" s="5" t="n"/>
      <c r="D136" s="5" t="n"/>
      <c r="E136" s="4">
        <f>IF(OR($C136="",$D136=""),"",$D136-$C136+1)</f>
        <v/>
      </c>
      <c r="F136" s="2" t="n"/>
      <c r="G136" s="2" t="n"/>
    </row>
    <row r="137">
      <c r="A137" s="2" t="n"/>
      <c r="B137" s="2" t="n"/>
      <c r="C137" s="5" t="n"/>
      <c r="D137" s="5" t="n"/>
      <c r="E137" s="4">
        <f>IF(OR($C137="",$D137=""),"",$D137-$C137+1)</f>
        <v/>
      </c>
      <c r="F137" s="2" t="n"/>
      <c r="G137" s="2" t="n"/>
    </row>
    <row r="138">
      <c r="A138" s="2" t="n"/>
      <c r="B138" s="2" t="n"/>
      <c r="C138" s="5" t="n"/>
      <c r="D138" s="5" t="n"/>
      <c r="E138" s="4">
        <f>IF(OR($C138="",$D138=""),"",$D138-$C138+1)</f>
        <v/>
      </c>
      <c r="F138" s="2" t="n"/>
      <c r="G138" s="2" t="n"/>
    </row>
    <row r="139">
      <c r="A139" s="2" t="n"/>
      <c r="B139" s="2" t="n"/>
      <c r="C139" s="5" t="n"/>
      <c r="D139" s="5" t="n"/>
      <c r="E139" s="4">
        <f>IF(OR($C139="",$D139=""),"",$D139-$C139+1)</f>
        <v/>
      </c>
      <c r="F139" s="2" t="n"/>
      <c r="G139" s="2" t="n"/>
    </row>
    <row r="140">
      <c r="A140" s="2" t="n"/>
      <c r="B140" s="2" t="n"/>
      <c r="C140" s="5" t="n"/>
      <c r="D140" s="5" t="n"/>
      <c r="E140" s="4">
        <f>IF(OR($C140="",$D140=""),"",$D140-$C140+1)</f>
        <v/>
      </c>
      <c r="F140" s="2" t="n"/>
      <c r="G140" s="2" t="n"/>
    </row>
    <row r="141">
      <c r="A141" s="2" t="n"/>
      <c r="B141" s="2" t="n"/>
      <c r="C141" s="5" t="n"/>
      <c r="D141" s="5" t="n"/>
      <c r="E141" s="4">
        <f>IF(OR($C141="",$D141=""),"",$D141-$C141+1)</f>
        <v/>
      </c>
      <c r="F141" s="2" t="n"/>
      <c r="G141" s="2" t="n"/>
    </row>
    <row r="142">
      <c r="A142" s="2" t="n"/>
      <c r="B142" s="2" t="n"/>
      <c r="C142" s="5" t="n"/>
      <c r="D142" s="5" t="n"/>
      <c r="E142" s="4">
        <f>IF(OR($C142="",$D142=""),"",$D142-$C142+1)</f>
        <v/>
      </c>
      <c r="F142" s="2" t="n"/>
      <c r="G142" s="2" t="n"/>
    </row>
    <row r="143">
      <c r="A143" s="2" t="n"/>
      <c r="B143" s="2" t="n"/>
      <c r="C143" s="5" t="n"/>
      <c r="D143" s="5" t="n"/>
      <c r="E143" s="4">
        <f>IF(OR($C143="",$D143=""),"",$D143-$C143+1)</f>
        <v/>
      </c>
      <c r="F143" s="2" t="n"/>
      <c r="G143" s="2" t="n"/>
    </row>
    <row r="144">
      <c r="A144" s="2" t="n"/>
      <c r="B144" s="2" t="n"/>
      <c r="C144" s="5" t="n"/>
      <c r="D144" s="5" t="n"/>
      <c r="E144" s="4">
        <f>IF(OR($C144="",$D144=""),"",$D144-$C144+1)</f>
        <v/>
      </c>
      <c r="F144" s="2" t="n"/>
      <c r="G144" s="2" t="n"/>
    </row>
    <row r="145">
      <c r="A145" s="2" t="n"/>
      <c r="B145" s="2" t="n"/>
      <c r="C145" s="5" t="n"/>
      <c r="D145" s="5" t="n"/>
      <c r="E145" s="4">
        <f>IF(OR($C145="",$D145=""),"",$D145-$C145+1)</f>
        <v/>
      </c>
      <c r="F145" s="2" t="n"/>
      <c r="G145" s="2" t="n"/>
    </row>
    <row r="146">
      <c r="A146" s="2" t="n"/>
      <c r="B146" s="2" t="n"/>
      <c r="C146" s="5" t="n"/>
      <c r="D146" s="5" t="n"/>
      <c r="E146" s="4">
        <f>IF(OR($C146="",$D146=""),"",$D146-$C146+1)</f>
        <v/>
      </c>
      <c r="F146" s="2" t="n"/>
      <c r="G146" s="2" t="n"/>
    </row>
    <row r="147">
      <c r="A147" s="2" t="n"/>
      <c r="B147" s="2" t="n"/>
      <c r="C147" s="5" t="n"/>
      <c r="D147" s="5" t="n"/>
      <c r="E147" s="4">
        <f>IF(OR($C147="",$D147=""),"",$D147-$C147+1)</f>
        <v/>
      </c>
      <c r="F147" s="2" t="n"/>
      <c r="G147" s="2" t="n"/>
    </row>
    <row r="148">
      <c r="A148" s="2" t="n"/>
      <c r="B148" s="2" t="n"/>
      <c r="C148" s="5" t="n"/>
      <c r="D148" s="5" t="n"/>
      <c r="E148" s="4">
        <f>IF(OR($C148="",$D148=""),"",$D148-$C148+1)</f>
        <v/>
      </c>
      <c r="F148" s="2" t="n"/>
      <c r="G148" s="2" t="n"/>
    </row>
    <row r="149">
      <c r="A149" s="2" t="n"/>
      <c r="B149" s="2" t="n"/>
      <c r="C149" s="5" t="n"/>
      <c r="D149" s="5" t="n"/>
      <c r="E149" s="4">
        <f>IF(OR($C149="",$D149=""),"",$D149-$C149+1)</f>
        <v/>
      </c>
      <c r="F149" s="2" t="n"/>
      <c r="G149" s="2" t="n"/>
    </row>
    <row r="150">
      <c r="A150" s="2" t="n"/>
      <c r="B150" s="2" t="n"/>
      <c r="C150" s="5" t="n"/>
      <c r="D150" s="5" t="n"/>
      <c r="E150" s="4">
        <f>IF(OR($C150="",$D150=""),"",$D150-$C150+1)</f>
        <v/>
      </c>
      <c r="F150" s="2" t="n"/>
      <c r="G150" s="2" t="n"/>
    </row>
    <row r="151">
      <c r="A151" s="2" t="n"/>
      <c r="B151" s="2" t="n"/>
      <c r="C151" s="5" t="n"/>
      <c r="D151" s="5" t="n"/>
      <c r="E151" s="4">
        <f>IF(OR($C151="",$D151=""),"",$D151-$C151+1)</f>
        <v/>
      </c>
      <c r="F151" s="2" t="n"/>
      <c r="G151" s="2" t="n"/>
    </row>
    <row r="152">
      <c r="A152" s="2" t="n"/>
      <c r="B152" s="2" t="n"/>
      <c r="C152" s="5" t="n"/>
      <c r="D152" s="5" t="n"/>
      <c r="E152" s="4">
        <f>IF(OR($C152="",$D152=""),"",$D152-$C152+1)</f>
        <v/>
      </c>
      <c r="F152" s="2" t="n"/>
      <c r="G152" s="2" t="n"/>
    </row>
    <row r="153">
      <c r="A153" s="2" t="n"/>
      <c r="B153" s="2" t="n"/>
      <c r="C153" s="5" t="n"/>
      <c r="D153" s="5" t="n"/>
      <c r="E153" s="4">
        <f>IF(OR($C153="",$D153=""),"",$D153-$C153+1)</f>
        <v/>
      </c>
      <c r="F153" s="2" t="n"/>
      <c r="G153" s="2" t="n"/>
    </row>
    <row r="154">
      <c r="A154" s="2" t="n"/>
      <c r="B154" s="2" t="n"/>
      <c r="C154" s="5" t="n"/>
      <c r="D154" s="5" t="n"/>
      <c r="E154" s="4">
        <f>IF(OR($C154="",$D154=""),"",$D154-$C154+1)</f>
        <v/>
      </c>
      <c r="F154" s="2" t="n"/>
      <c r="G154" s="2" t="n"/>
    </row>
    <row r="155">
      <c r="A155" s="2" t="n"/>
      <c r="B155" s="2" t="n"/>
      <c r="C155" s="5" t="n"/>
      <c r="D155" s="5" t="n"/>
      <c r="E155" s="4">
        <f>IF(OR($C155="",$D155=""),"",$D155-$C155+1)</f>
        <v/>
      </c>
      <c r="F155" s="2" t="n"/>
      <c r="G155" s="2" t="n"/>
    </row>
    <row r="156">
      <c r="A156" s="2" t="n"/>
      <c r="B156" s="2" t="n"/>
      <c r="C156" s="5" t="n"/>
      <c r="D156" s="5" t="n"/>
      <c r="E156" s="4">
        <f>IF(OR($C156="",$D156=""),"",$D156-$C156+1)</f>
        <v/>
      </c>
      <c r="F156" s="2" t="n"/>
      <c r="G156" s="2" t="n"/>
    </row>
    <row r="157">
      <c r="A157" s="2" t="n"/>
      <c r="B157" s="2" t="n"/>
      <c r="C157" s="5" t="n"/>
      <c r="D157" s="5" t="n"/>
      <c r="E157" s="4">
        <f>IF(OR($C157="",$D157=""),"",$D157-$C157+1)</f>
        <v/>
      </c>
      <c r="F157" s="2" t="n"/>
      <c r="G157" s="2" t="n"/>
    </row>
    <row r="158">
      <c r="A158" s="2" t="n"/>
      <c r="B158" s="2" t="n"/>
      <c r="C158" s="5" t="n"/>
      <c r="D158" s="5" t="n"/>
      <c r="E158" s="4">
        <f>IF(OR($C158="",$D158=""),"",$D158-$C158+1)</f>
        <v/>
      </c>
      <c r="F158" s="2" t="n"/>
      <c r="G158" s="2" t="n"/>
    </row>
    <row r="159">
      <c r="A159" s="2" t="n"/>
      <c r="B159" s="2" t="n"/>
      <c r="C159" s="5" t="n"/>
      <c r="D159" s="5" t="n"/>
      <c r="E159" s="4">
        <f>IF(OR($C159="",$D159=""),"",$D159-$C159+1)</f>
        <v/>
      </c>
      <c r="F159" s="2" t="n"/>
      <c r="G159" s="2" t="n"/>
    </row>
    <row r="160">
      <c r="A160" s="2" t="n"/>
      <c r="B160" s="2" t="n"/>
      <c r="C160" s="5" t="n"/>
      <c r="D160" s="5" t="n"/>
      <c r="E160" s="4">
        <f>IF(OR($C160="",$D160=""),"",$D160-$C160+1)</f>
        <v/>
      </c>
      <c r="F160" s="2" t="n"/>
      <c r="G160" s="2" t="n"/>
    </row>
    <row r="161">
      <c r="A161" s="2" t="n"/>
      <c r="B161" s="2" t="n"/>
      <c r="C161" s="5" t="n"/>
      <c r="D161" s="5" t="n"/>
      <c r="E161" s="4">
        <f>IF(OR($C161="",$D161=""),"",$D161-$C161+1)</f>
        <v/>
      </c>
      <c r="F161" s="2" t="n"/>
      <c r="G161" s="2" t="n"/>
    </row>
    <row r="162">
      <c r="A162" s="2" t="n"/>
      <c r="B162" s="2" t="n"/>
      <c r="C162" s="5" t="n"/>
      <c r="D162" s="5" t="n"/>
      <c r="E162" s="4">
        <f>IF(OR($C162="",$D162=""),"",$D162-$C162+1)</f>
        <v/>
      </c>
      <c r="F162" s="2" t="n"/>
      <c r="G162" s="2" t="n"/>
    </row>
    <row r="163">
      <c r="A163" s="2" t="n"/>
      <c r="B163" s="2" t="n"/>
      <c r="C163" s="5" t="n"/>
      <c r="D163" s="5" t="n"/>
      <c r="E163" s="4">
        <f>IF(OR($C163="",$D163=""),"",$D163-$C163+1)</f>
        <v/>
      </c>
      <c r="F163" s="2" t="n"/>
      <c r="G163" s="2" t="n"/>
    </row>
    <row r="164">
      <c r="A164" s="2" t="n"/>
      <c r="B164" s="2" t="n"/>
      <c r="C164" s="5" t="n"/>
      <c r="D164" s="5" t="n"/>
      <c r="E164" s="4">
        <f>IF(OR($C164="",$D164=""),"",$D164-$C164+1)</f>
        <v/>
      </c>
      <c r="F164" s="2" t="n"/>
      <c r="G164" s="2" t="n"/>
    </row>
    <row r="165">
      <c r="A165" s="2" t="n"/>
      <c r="B165" s="2" t="n"/>
      <c r="C165" s="5" t="n"/>
      <c r="D165" s="5" t="n"/>
      <c r="E165" s="4">
        <f>IF(OR($C165="",$D165=""),"",$D165-$C165+1)</f>
        <v/>
      </c>
      <c r="F165" s="2" t="n"/>
      <c r="G165" s="2" t="n"/>
    </row>
    <row r="166">
      <c r="A166" s="2" t="n"/>
      <c r="B166" s="2" t="n"/>
      <c r="C166" s="5" t="n"/>
      <c r="D166" s="5" t="n"/>
      <c r="E166" s="4">
        <f>IF(OR($C166="",$D166=""),"",$D166-$C166+1)</f>
        <v/>
      </c>
      <c r="F166" s="2" t="n"/>
      <c r="G166" s="2" t="n"/>
    </row>
    <row r="167">
      <c r="A167" s="2" t="n"/>
      <c r="B167" s="2" t="n"/>
      <c r="C167" s="5" t="n"/>
      <c r="D167" s="5" t="n"/>
      <c r="E167" s="4">
        <f>IF(OR($C167="",$D167=""),"",$D167-$C167+1)</f>
        <v/>
      </c>
      <c r="F167" s="2" t="n"/>
      <c r="G167" s="2" t="n"/>
    </row>
    <row r="168">
      <c r="A168" s="2" t="n"/>
      <c r="B168" s="2" t="n"/>
      <c r="C168" s="5" t="n"/>
      <c r="D168" s="5" t="n"/>
      <c r="E168" s="4">
        <f>IF(OR($C168="",$D168=""),"",$D168-$C168+1)</f>
        <v/>
      </c>
      <c r="F168" s="2" t="n"/>
      <c r="G168" s="2" t="n"/>
    </row>
    <row r="169">
      <c r="A169" s="2" t="n"/>
      <c r="B169" s="2" t="n"/>
      <c r="C169" s="5" t="n"/>
      <c r="D169" s="5" t="n"/>
      <c r="E169" s="4">
        <f>IF(OR($C169="",$D169=""),"",$D169-$C169+1)</f>
        <v/>
      </c>
      <c r="F169" s="2" t="n"/>
      <c r="G169" s="2" t="n"/>
    </row>
    <row r="170">
      <c r="A170" s="2" t="n"/>
      <c r="B170" s="2" t="n"/>
      <c r="C170" s="5" t="n"/>
      <c r="D170" s="5" t="n"/>
      <c r="E170" s="4">
        <f>IF(OR($C170="",$D170=""),"",$D170-$C170+1)</f>
        <v/>
      </c>
      <c r="F170" s="2" t="n"/>
      <c r="G170" s="2" t="n"/>
    </row>
    <row r="171">
      <c r="A171" s="2" t="n"/>
      <c r="B171" s="2" t="n"/>
      <c r="C171" s="5" t="n"/>
      <c r="D171" s="5" t="n"/>
      <c r="E171" s="4">
        <f>IF(OR($C171="",$D171=""),"",$D171-$C171+1)</f>
        <v/>
      </c>
      <c r="F171" s="2" t="n"/>
      <c r="G171" s="2" t="n"/>
    </row>
    <row r="172">
      <c r="A172" s="2" t="n"/>
      <c r="B172" s="2" t="n"/>
      <c r="C172" s="5" t="n"/>
      <c r="D172" s="5" t="n"/>
      <c r="E172" s="4">
        <f>IF(OR($C172="",$D172=""),"",$D172-$C172+1)</f>
        <v/>
      </c>
      <c r="F172" s="2" t="n"/>
      <c r="G172" s="2" t="n"/>
    </row>
    <row r="173">
      <c r="A173" s="2" t="n"/>
      <c r="B173" s="2" t="n"/>
      <c r="C173" s="5" t="n"/>
      <c r="D173" s="5" t="n"/>
      <c r="E173" s="4">
        <f>IF(OR($C173="",$D173=""),"",$D173-$C173+1)</f>
        <v/>
      </c>
      <c r="F173" s="2" t="n"/>
      <c r="G173" s="2" t="n"/>
    </row>
    <row r="174">
      <c r="A174" s="2" t="n"/>
      <c r="B174" s="2" t="n"/>
      <c r="C174" s="5" t="n"/>
      <c r="D174" s="5" t="n"/>
      <c r="E174" s="4">
        <f>IF(OR($C174="",$D174=""),"",$D174-$C174+1)</f>
        <v/>
      </c>
      <c r="F174" s="2" t="n"/>
      <c r="G174" s="2" t="n"/>
    </row>
    <row r="175">
      <c r="A175" s="2" t="n"/>
      <c r="B175" s="2" t="n"/>
      <c r="C175" s="5" t="n"/>
      <c r="D175" s="5" t="n"/>
      <c r="E175" s="4">
        <f>IF(OR($C175="",$D175=""),"",$D175-$C175+1)</f>
        <v/>
      </c>
      <c r="F175" s="2" t="n"/>
      <c r="G175" s="2" t="n"/>
    </row>
    <row r="176">
      <c r="A176" s="2" t="n"/>
      <c r="B176" s="2" t="n"/>
      <c r="C176" s="5" t="n"/>
      <c r="D176" s="5" t="n"/>
      <c r="E176" s="4">
        <f>IF(OR($C176="",$D176=""),"",$D176-$C176+1)</f>
        <v/>
      </c>
      <c r="F176" s="2" t="n"/>
      <c r="G176" s="2" t="n"/>
    </row>
    <row r="177">
      <c r="A177" s="2" t="n"/>
      <c r="B177" s="2" t="n"/>
      <c r="C177" s="5" t="n"/>
      <c r="D177" s="5" t="n"/>
      <c r="E177" s="4">
        <f>IF(OR($C177="",$D177=""),"",$D177-$C177+1)</f>
        <v/>
      </c>
      <c r="F177" s="2" t="n"/>
      <c r="G177" s="2" t="n"/>
    </row>
    <row r="178">
      <c r="A178" s="2" t="n"/>
      <c r="B178" s="2" t="n"/>
      <c r="C178" s="5" t="n"/>
      <c r="D178" s="5" t="n"/>
      <c r="E178" s="4">
        <f>IF(OR($C178="",$D178=""),"",$D178-$C178+1)</f>
        <v/>
      </c>
      <c r="F178" s="2" t="n"/>
      <c r="G178" s="2" t="n"/>
    </row>
    <row r="179">
      <c r="A179" s="2" t="n"/>
      <c r="B179" s="2" t="n"/>
      <c r="C179" s="5" t="n"/>
      <c r="D179" s="5" t="n"/>
      <c r="E179" s="4">
        <f>IF(OR($C179="",$D179=""),"",$D179-$C179+1)</f>
        <v/>
      </c>
      <c r="F179" s="2" t="n"/>
      <c r="G179" s="2" t="n"/>
    </row>
    <row r="180">
      <c r="A180" s="2" t="n"/>
      <c r="B180" s="2" t="n"/>
      <c r="C180" s="5" t="n"/>
      <c r="D180" s="5" t="n"/>
      <c r="E180" s="4">
        <f>IF(OR($C180="",$D180=""),"",$D180-$C180+1)</f>
        <v/>
      </c>
      <c r="F180" s="2" t="n"/>
      <c r="G180" s="2" t="n"/>
    </row>
    <row r="181">
      <c r="A181" s="2" t="n"/>
      <c r="B181" s="2" t="n"/>
      <c r="C181" s="5" t="n"/>
      <c r="D181" s="5" t="n"/>
      <c r="E181" s="4">
        <f>IF(OR($C181="",$D181=""),"",$D181-$C181+1)</f>
        <v/>
      </c>
      <c r="F181" s="2" t="n"/>
      <c r="G181" s="2" t="n"/>
    </row>
    <row r="182">
      <c r="A182" s="2" t="n"/>
      <c r="B182" s="2" t="n"/>
      <c r="C182" s="5" t="n"/>
      <c r="D182" s="5" t="n"/>
      <c r="E182" s="4">
        <f>IF(OR($C182="",$D182=""),"",$D182-$C182+1)</f>
        <v/>
      </c>
      <c r="F182" s="2" t="n"/>
      <c r="G182" s="2" t="n"/>
    </row>
    <row r="183">
      <c r="A183" s="2" t="n"/>
      <c r="B183" s="2" t="n"/>
      <c r="C183" s="5" t="n"/>
      <c r="D183" s="5" t="n"/>
      <c r="E183" s="4">
        <f>IF(OR($C183="",$D183=""),"",$D183-$C183+1)</f>
        <v/>
      </c>
      <c r="F183" s="2" t="n"/>
      <c r="G183" s="2" t="n"/>
    </row>
    <row r="184">
      <c r="A184" s="2" t="n"/>
      <c r="B184" s="2" t="n"/>
      <c r="C184" s="5" t="n"/>
      <c r="D184" s="5" t="n"/>
      <c r="E184" s="4">
        <f>IF(OR($C184="",$D184=""),"",$D184-$C184+1)</f>
        <v/>
      </c>
      <c r="F184" s="2" t="n"/>
      <c r="G184" s="2" t="n"/>
    </row>
    <row r="185">
      <c r="A185" s="2" t="n"/>
      <c r="B185" s="2" t="n"/>
      <c r="C185" s="5" t="n"/>
      <c r="D185" s="5" t="n"/>
      <c r="E185" s="4">
        <f>IF(OR($C185="",$D185=""),"",$D185-$C185+1)</f>
        <v/>
      </c>
      <c r="F185" s="2" t="n"/>
      <c r="G185" s="2" t="n"/>
    </row>
    <row r="186">
      <c r="A186" s="2" t="n"/>
      <c r="B186" s="2" t="n"/>
      <c r="C186" s="5" t="n"/>
      <c r="D186" s="5" t="n"/>
      <c r="E186" s="4">
        <f>IF(OR($C186="",$D186=""),"",$D186-$C186+1)</f>
        <v/>
      </c>
      <c r="F186" s="2" t="n"/>
      <c r="G186" s="2" t="n"/>
    </row>
    <row r="187">
      <c r="A187" s="2" t="n"/>
      <c r="B187" s="2" t="n"/>
      <c r="C187" s="5" t="n"/>
      <c r="D187" s="5" t="n"/>
      <c r="E187" s="4">
        <f>IF(OR($C187="",$D187=""),"",$D187-$C187+1)</f>
        <v/>
      </c>
      <c r="F187" s="2" t="n"/>
      <c r="G187" s="2" t="n"/>
    </row>
    <row r="188">
      <c r="A188" s="2" t="n"/>
      <c r="B188" s="2" t="n"/>
      <c r="C188" s="5" t="n"/>
      <c r="D188" s="5" t="n"/>
      <c r="E188" s="4">
        <f>IF(OR($C188="",$D188=""),"",$D188-$C188+1)</f>
        <v/>
      </c>
      <c r="F188" s="2" t="n"/>
      <c r="G188" s="2" t="n"/>
    </row>
    <row r="189">
      <c r="A189" s="2" t="n"/>
      <c r="B189" s="2" t="n"/>
      <c r="C189" s="5" t="n"/>
      <c r="D189" s="5" t="n"/>
      <c r="E189" s="4">
        <f>IF(OR($C189="",$D189=""),"",$D189-$C189+1)</f>
        <v/>
      </c>
      <c r="F189" s="2" t="n"/>
      <c r="G189" s="2" t="n"/>
    </row>
    <row r="190">
      <c r="A190" s="2" t="n"/>
      <c r="B190" s="2" t="n"/>
      <c r="C190" s="5" t="n"/>
      <c r="D190" s="5" t="n"/>
      <c r="E190" s="4">
        <f>IF(OR($C190="",$D190=""),"",$D190-$C190+1)</f>
        <v/>
      </c>
      <c r="F190" s="2" t="n"/>
      <c r="G190" s="2" t="n"/>
    </row>
    <row r="191">
      <c r="A191" s="2" t="n"/>
      <c r="B191" s="2" t="n"/>
      <c r="C191" s="5" t="n"/>
      <c r="D191" s="5" t="n"/>
      <c r="E191" s="4">
        <f>IF(OR($C191="",$D191=""),"",$D191-$C191+1)</f>
        <v/>
      </c>
      <c r="F191" s="2" t="n"/>
      <c r="G191" s="2" t="n"/>
    </row>
    <row r="192">
      <c r="A192" s="2" t="n"/>
      <c r="B192" s="2" t="n"/>
      <c r="C192" s="5" t="n"/>
      <c r="D192" s="5" t="n"/>
      <c r="E192" s="4">
        <f>IF(OR($C192="",$D192=""),"",$D192-$C192+1)</f>
        <v/>
      </c>
      <c r="F192" s="2" t="n"/>
      <c r="G192" s="2" t="n"/>
    </row>
    <row r="193">
      <c r="A193" s="2" t="n"/>
      <c r="B193" s="2" t="n"/>
      <c r="C193" s="5" t="n"/>
      <c r="D193" s="5" t="n"/>
      <c r="E193" s="4">
        <f>IF(OR($C193="",$D193=""),"",$D193-$C193+1)</f>
        <v/>
      </c>
      <c r="F193" s="2" t="n"/>
      <c r="G193" s="2" t="n"/>
    </row>
    <row r="194">
      <c r="A194" s="2" t="n"/>
      <c r="B194" s="2" t="n"/>
      <c r="C194" s="5" t="n"/>
      <c r="D194" s="5" t="n"/>
      <c r="E194" s="4">
        <f>IF(OR($C194="",$D194=""),"",$D194-$C194+1)</f>
        <v/>
      </c>
      <c r="F194" s="2" t="n"/>
      <c r="G194" s="2" t="n"/>
    </row>
    <row r="195">
      <c r="A195" s="2" t="n"/>
      <c r="B195" s="2" t="n"/>
      <c r="C195" s="5" t="n"/>
      <c r="D195" s="5" t="n"/>
      <c r="E195" s="4">
        <f>IF(OR($C195="",$D195=""),"",$D195-$C195+1)</f>
        <v/>
      </c>
      <c r="F195" s="2" t="n"/>
      <c r="G195" s="2" t="n"/>
    </row>
    <row r="196">
      <c r="A196" s="2" t="n"/>
      <c r="B196" s="2" t="n"/>
      <c r="C196" s="5" t="n"/>
      <c r="D196" s="5" t="n"/>
      <c r="E196" s="4">
        <f>IF(OR($C196="",$D196=""),"",$D196-$C196+1)</f>
        <v/>
      </c>
      <c r="F196" s="2" t="n"/>
      <c r="G196" s="2" t="n"/>
    </row>
    <row r="197">
      <c r="A197" s="2" t="n"/>
      <c r="B197" s="2" t="n"/>
      <c r="C197" s="5" t="n"/>
      <c r="D197" s="5" t="n"/>
      <c r="E197" s="4">
        <f>IF(OR($C197="",$D197=""),"",$D197-$C197+1)</f>
        <v/>
      </c>
      <c r="F197" s="2" t="n"/>
      <c r="G197" s="2" t="n"/>
    </row>
    <row r="198">
      <c r="A198" s="2" t="n"/>
      <c r="B198" s="2" t="n"/>
      <c r="C198" s="5" t="n"/>
      <c r="D198" s="5" t="n"/>
      <c r="E198" s="4">
        <f>IF(OR($C198="",$D198=""),"",$D198-$C198+1)</f>
        <v/>
      </c>
      <c r="F198" s="2" t="n"/>
      <c r="G198" s="2" t="n"/>
    </row>
    <row r="199">
      <c r="A199" s="2" t="n"/>
      <c r="B199" s="2" t="n"/>
      <c r="C199" s="5" t="n"/>
      <c r="D199" s="5" t="n"/>
      <c r="E199" s="4">
        <f>IF(OR($C199="",$D199=""),"",$D199-$C199+1)</f>
        <v/>
      </c>
      <c r="F199" s="2" t="n"/>
      <c r="G199" s="2" t="n"/>
    </row>
    <row r="200">
      <c r="A200" s="2" t="n"/>
      <c r="B200" s="2" t="n"/>
      <c r="C200" s="5" t="n"/>
      <c r="D200" s="5" t="n"/>
      <c r="E200" s="4">
        <f>IF(OR($C200="",$D200=""),"",$D200-$C200+1)</f>
        <v/>
      </c>
      <c r="F200" s="2" t="n"/>
      <c r="G200" s="2" t="n"/>
    </row>
    <row r="201">
      <c r="A201" s="2" t="n"/>
      <c r="B201" s="2" t="n"/>
      <c r="C201" s="5" t="n"/>
      <c r="D201" s="5" t="n"/>
      <c r="E201" s="4">
        <f>IF(OR($C201="",$D201=""),"",$D201-$C201+1)</f>
        <v/>
      </c>
      <c r="F201" s="2" t="n"/>
      <c r="G201" s="2" t="n"/>
    </row>
    <row r="202">
      <c r="A202" s="2" t="n"/>
      <c r="B202" s="2" t="n"/>
      <c r="C202" s="5" t="n"/>
      <c r="D202" s="5" t="n"/>
      <c r="E202" s="4">
        <f>IF(OR($C202="",$D202=""),"",$D202-$C202+1)</f>
        <v/>
      </c>
      <c r="F202" s="2" t="n"/>
      <c r="G202" s="2" t="n"/>
    </row>
    <row r="203">
      <c r="A203" s="2" t="n"/>
      <c r="B203" s="2" t="n"/>
      <c r="C203" s="5" t="n"/>
      <c r="D203" s="5" t="n"/>
      <c r="E203" s="4">
        <f>IF(OR($C203="",$D203=""),"",$D203-$C203+1)</f>
        <v/>
      </c>
      <c r="F203" s="2" t="n"/>
      <c r="G203" s="2" t="n"/>
    </row>
    <row r="204">
      <c r="A204" s="2" t="n"/>
      <c r="B204" s="2" t="n"/>
      <c r="C204" s="5" t="n"/>
      <c r="D204" s="5" t="n"/>
      <c r="E204" s="4">
        <f>IF(OR($C204="",$D204=""),"",$D204-$C204+1)</f>
        <v/>
      </c>
      <c r="F204" s="2" t="n"/>
      <c r="G204" s="2" t="n"/>
    </row>
    <row r="205">
      <c r="A205" s="2" t="n"/>
      <c r="B205" s="2" t="n"/>
      <c r="C205" s="5" t="n"/>
      <c r="D205" s="5" t="n"/>
      <c r="E205" s="4">
        <f>IF(OR($C205="",$D205=""),"",$D205-$C205+1)</f>
        <v/>
      </c>
      <c r="F205" s="2" t="n"/>
      <c r="G205" s="2" t="n"/>
    </row>
    <row r="206">
      <c r="A206" s="2" t="n"/>
      <c r="B206" s="2" t="n"/>
      <c r="C206" s="5" t="n"/>
      <c r="D206" s="5" t="n"/>
      <c r="E206" s="4">
        <f>IF(OR($C206="",$D206=""),"",$D206-$C206+1)</f>
        <v/>
      </c>
      <c r="F206" s="2" t="n"/>
      <c r="G206" s="2" t="n"/>
    </row>
    <row r="207">
      <c r="A207" s="2" t="n"/>
      <c r="B207" s="2" t="n"/>
      <c r="C207" s="5" t="n"/>
      <c r="D207" s="5" t="n"/>
      <c r="E207" s="4">
        <f>IF(OR($C207="",$D207=""),"",$D207-$C207+1)</f>
        <v/>
      </c>
      <c r="F207" s="2" t="n"/>
      <c r="G207" s="2" t="n"/>
    </row>
    <row r="208">
      <c r="A208" s="2" t="n"/>
      <c r="B208" s="2" t="n"/>
      <c r="C208" s="5" t="n"/>
      <c r="D208" s="5" t="n"/>
      <c r="E208" s="4">
        <f>IF(OR($C208="",$D208=""),"",$D208-$C208+1)</f>
        <v/>
      </c>
      <c r="F208" s="2" t="n"/>
      <c r="G208" s="2" t="n"/>
    </row>
    <row r="209">
      <c r="A209" s="2" t="n"/>
      <c r="B209" s="2" t="n"/>
      <c r="C209" s="5" t="n"/>
      <c r="D209" s="5" t="n"/>
      <c r="E209" s="4">
        <f>IF(OR($C209="",$D209=""),"",$D209-$C209+1)</f>
        <v/>
      </c>
      <c r="F209" s="2" t="n"/>
      <c r="G209" s="2" t="n"/>
    </row>
    <row r="210">
      <c r="A210" s="2" t="n"/>
      <c r="B210" s="2" t="n"/>
      <c r="C210" s="5" t="n"/>
      <c r="D210" s="5" t="n"/>
      <c r="E210" s="4">
        <f>IF(OR($C210="",$D210=""),"",$D210-$C210+1)</f>
        <v/>
      </c>
      <c r="F210" s="2" t="n"/>
      <c r="G210" s="2" t="n"/>
    </row>
    <row r="211">
      <c r="A211" s="2" t="n"/>
      <c r="B211" s="2" t="n"/>
      <c r="C211" s="5" t="n"/>
      <c r="D211" s="5" t="n"/>
      <c r="E211" s="4">
        <f>IF(OR($C211="",$D211=""),"",$D211-$C211+1)</f>
        <v/>
      </c>
      <c r="F211" s="2" t="n"/>
      <c r="G211" s="2" t="n"/>
    </row>
    <row r="212">
      <c r="A212" s="2" t="n"/>
      <c r="B212" s="2" t="n"/>
      <c r="C212" s="5" t="n"/>
      <c r="D212" s="5" t="n"/>
      <c r="E212" s="4">
        <f>IF(OR($C212="",$D212=""),"",$D212-$C212+1)</f>
        <v/>
      </c>
      <c r="F212" s="2" t="n"/>
      <c r="G212" s="2" t="n"/>
    </row>
    <row r="213">
      <c r="A213" s="2" t="n"/>
      <c r="B213" s="2" t="n"/>
      <c r="C213" s="5" t="n"/>
      <c r="D213" s="5" t="n"/>
      <c r="E213" s="4">
        <f>IF(OR($C213="",$D213=""),"",$D213-$C213+1)</f>
        <v/>
      </c>
      <c r="F213" s="2" t="n"/>
      <c r="G213" s="2" t="n"/>
    </row>
    <row r="214">
      <c r="A214" s="2" t="n"/>
      <c r="B214" s="2" t="n"/>
      <c r="C214" s="5" t="n"/>
      <c r="D214" s="5" t="n"/>
      <c r="E214" s="4">
        <f>IF(OR($C214="",$D214=""),"",$D214-$C214+1)</f>
        <v/>
      </c>
      <c r="F214" s="2" t="n"/>
      <c r="G214" s="2" t="n"/>
    </row>
    <row r="215">
      <c r="A215" s="2" t="n"/>
      <c r="B215" s="2" t="n"/>
      <c r="C215" s="5" t="n"/>
      <c r="D215" s="5" t="n"/>
      <c r="E215" s="4">
        <f>IF(OR($C215="",$D215=""),"",$D215-$C215+1)</f>
        <v/>
      </c>
      <c r="F215" s="2" t="n"/>
      <c r="G215" s="2" t="n"/>
    </row>
    <row r="216">
      <c r="A216" s="2" t="n"/>
      <c r="B216" s="2" t="n"/>
      <c r="C216" s="5" t="n"/>
      <c r="D216" s="5" t="n"/>
      <c r="E216" s="4">
        <f>IF(OR($C216="",$D216=""),"",$D216-$C216+1)</f>
        <v/>
      </c>
      <c r="F216" s="2" t="n"/>
      <c r="G216" s="2" t="n"/>
    </row>
    <row r="217">
      <c r="A217" s="2" t="n"/>
      <c r="B217" s="2" t="n"/>
      <c r="C217" s="5" t="n"/>
      <c r="D217" s="5" t="n"/>
      <c r="E217" s="4">
        <f>IF(OR($C217="",$D217=""),"",$D217-$C217+1)</f>
        <v/>
      </c>
      <c r="F217" s="2" t="n"/>
      <c r="G217" s="2" t="n"/>
    </row>
    <row r="218">
      <c r="A218" s="2" t="n"/>
      <c r="B218" s="2" t="n"/>
      <c r="C218" s="5" t="n"/>
      <c r="D218" s="5" t="n"/>
      <c r="E218" s="4">
        <f>IF(OR($C218="",$D218=""),"",$D218-$C218+1)</f>
        <v/>
      </c>
      <c r="F218" s="2" t="n"/>
      <c r="G218" s="2" t="n"/>
    </row>
    <row r="219">
      <c r="A219" s="2" t="n"/>
      <c r="B219" s="2" t="n"/>
      <c r="C219" s="5" t="n"/>
      <c r="D219" s="5" t="n"/>
      <c r="E219" s="4">
        <f>IF(OR($C219="",$D219=""),"",$D219-$C219+1)</f>
        <v/>
      </c>
      <c r="F219" s="2" t="n"/>
      <c r="G219" s="2" t="n"/>
    </row>
    <row r="220">
      <c r="A220" s="2" t="n"/>
      <c r="B220" s="2" t="n"/>
      <c r="C220" s="5" t="n"/>
      <c r="D220" s="5" t="n"/>
      <c r="E220" s="4">
        <f>IF(OR($C220="",$D220=""),"",$D220-$C220+1)</f>
        <v/>
      </c>
      <c r="F220" s="2" t="n"/>
      <c r="G220" s="2" t="n"/>
    </row>
    <row r="221">
      <c r="A221" s="2" t="n"/>
      <c r="B221" s="2" t="n"/>
      <c r="C221" s="5" t="n"/>
      <c r="D221" s="5" t="n"/>
      <c r="E221" s="4">
        <f>IF(OR($C221="",$D221=""),"",$D221-$C221+1)</f>
        <v/>
      </c>
      <c r="F221" s="2" t="n"/>
      <c r="G221" s="2" t="n"/>
    </row>
    <row r="222">
      <c r="A222" s="2" t="n"/>
      <c r="B222" s="2" t="n"/>
      <c r="C222" s="5" t="n"/>
      <c r="D222" s="5" t="n"/>
      <c r="E222" s="4">
        <f>IF(OR($C222="",$D222=""),"",$D222-$C222+1)</f>
        <v/>
      </c>
      <c r="F222" s="2" t="n"/>
      <c r="G222" s="2" t="n"/>
    </row>
    <row r="223">
      <c r="A223" s="2" t="n"/>
      <c r="B223" s="2" t="n"/>
      <c r="C223" s="5" t="n"/>
      <c r="D223" s="5" t="n"/>
      <c r="E223" s="4">
        <f>IF(OR($C223="",$D223=""),"",$D223-$C223+1)</f>
        <v/>
      </c>
      <c r="F223" s="2" t="n"/>
      <c r="G223" s="2" t="n"/>
    </row>
    <row r="224">
      <c r="A224" s="2" t="n"/>
      <c r="B224" s="2" t="n"/>
      <c r="C224" s="5" t="n"/>
      <c r="D224" s="5" t="n"/>
      <c r="E224" s="4">
        <f>IF(OR($C224="",$D224=""),"",$D224-$C224+1)</f>
        <v/>
      </c>
      <c r="F224" s="2" t="n"/>
      <c r="G224" s="2" t="n"/>
    </row>
    <row r="225">
      <c r="A225" s="2" t="n"/>
      <c r="B225" s="2" t="n"/>
      <c r="C225" s="5" t="n"/>
      <c r="D225" s="5" t="n"/>
      <c r="E225" s="4">
        <f>IF(OR($C225="",$D225=""),"",$D225-$C225+1)</f>
        <v/>
      </c>
      <c r="F225" s="2" t="n"/>
      <c r="G225" s="2" t="n"/>
    </row>
    <row r="226">
      <c r="A226" s="2" t="n"/>
      <c r="B226" s="2" t="n"/>
      <c r="C226" s="5" t="n"/>
      <c r="D226" s="5" t="n"/>
      <c r="E226" s="4">
        <f>IF(OR($C226="",$D226=""),"",$D226-$C226+1)</f>
        <v/>
      </c>
      <c r="F226" s="2" t="n"/>
      <c r="G226" s="2" t="n"/>
    </row>
    <row r="227">
      <c r="A227" s="2" t="n"/>
      <c r="B227" s="2" t="n"/>
      <c r="C227" s="5" t="n"/>
      <c r="D227" s="5" t="n"/>
      <c r="E227" s="4">
        <f>IF(OR($C227="",$D227=""),"",$D227-$C227+1)</f>
        <v/>
      </c>
      <c r="F227" s="2" t="n"/>
      <c r="G227" s="2" t="n"/>
    </row>
    <row r="228">
      <c r="A228" s="2" t="n"/>
      <c r="B228" s="2" t="n"/>
      <c r="C228" s="5" t="n"/>
      <c r="D228" s="5" t="n"/>
      <c r="E228" s="4">
        <f>IF(OR($C228="",$D228=""),"",$D228-$C228+1)</f>
        <v/>
      </c>
      <c r="F228" s="2" t="n"/>
      <c r="G228" s="2" t="n"/>
    </row>
    <row r="229">
      <c r="A229" s="2" t="n"/>
      <c r="B229" s="2" t="n"/>
      <c r="C229" s="5" t="n"/>
      <c r="D229" s="5" t="n"/>
      <c r="E229" s="4">
        <f>IF(OR($C229="",$D229=""),"",$D229-$C229+1)</f>
        <v/>
      </c>
      <c r="F229" s="2" t="n"/>
      <c r="G229" s="2" t="n"/>
    </row>
    <row r="230">
      <c r="A230" s="2" t="n"/>
      <c r="B230" s="2" t="n"/>
      <c r="C230" s="5" t="n"/>
      <c r="D230" s="5" t="n"/>
      <c r="E230" s="4">
        <f>IF(OR($C230="",$D230=""),"",$D230-$C230+1)</f>
        <v/>
      </c>
      <c r="F230" s="2" t="n"/>
      <c r="G230" s="2" t="n"/>
    </row>
    <row r="231">
      <c r="A231" s="2" t="n"/>
      <c r="B231" s="2" t="n"/>
      <c r="C231" s="5" t="n"/>
      <c r="D231" s="5" t="n"/>
      <c r="E231" s="4">
        <f>IF(OR($C231="",$D231=""),"",$D231-$C231+1)</f>
        <v/>
      </c>
      <c r="F231" s="2" t="n"/>
      <c r="G231" s="2" t="n"/>
    </row>
    <row r="232">
      <c r="A232" s="2" t="n"/>
      <c r="B232" s="2" t="n"/>
      <c r="C232" s="5" t="n"/>
      <c r="D232" s="5" t="n"/>
      <c r="E232" s="4">
        <f>IF(OR($C232="",$D232=""),"",$D232-$C232+1)</f>
        <v/>
      </c>
      <c r="F232" s="2" t="n"/>
      <c r="G232" s="2" t="n"/>
    </row>
    <row r="233">
      <c r="A233" s="2" t="n"/>
      <c r="B233" s="2" t="n"/>
      <c r="C233" s="5" t="n"/>
      <c r="D233" s="5" t="n"/>
      <c r="E233" s="4">
        <f>IF(OR($C233="",$D233=""),"",$D233-$C233+1)</f>
        <v/>
      </c>
      <c r="F233" s="2" t="n"/>
      <c r="G233" s="2" t="n"/>
    </row>
    <row r="234">
      <c r="A234" s="2" t="n"/>
      <c r="B234" s="2" t="n"/>
      <c r="C234" s="5" t="n"/>
      <c r="D234" s="5" t="n"/>
      <c r="E234" s="4">
        <f>IF(OR($C234="",$D234=""),"",$D234-$C234+1)</f>
        <v/>
      </c>
      <c r="F234" s="2" t="n"/>
      <c r="G234" s="2" t="n"/>
    </row>
    <row r="235">
      <c r="A235" s="2" t="n"/>
      <c r="B235" s="2" t="n"/>
      <c r="C235" s="5" t="n"/>
      <c r="D235" s="5" t="n"/>
      <c r="E235" s="4">
        <f>IF(OR($C235="",$D235=""),"",$D235-$C235+1)</f>
        <v/>
      </c>
      <c r="F235" s="2" t="n"/>
      <c r="G235" s="2" t="n"/>
    </row>
    <row r="236">
      <c r="A236" s="2" t="n"/>
      <c r="B236" s="2" t="n"/>
      <c r="C236" s="5" t="n"/>
      <c r="D236" s="5" t="n"/>
      <c r="E236" s="4">
        <f>IF(OR($C236="",$D236=""),"",$D236-$C236+1)</f>
        <v/>
      </c>
      <c r="F236" s="2" t="n"/>
      <c r="G236" s="2" t="n"/>
    </row>
    <row r="237">
      <c r="A237" s="2" t="n"/>
      <c r="B237" s="2" t="n"/>
      <c r="C237" s="5" t="n"/>
      <c r="D237" s="5" t="n"/>
      <c r="E237" s="4">
        <f>IF(OR($C237="",$D237=""),"",$D237-$C237+1)</f>
        <v/>
      </c>
      <c r="F237" s="2" t="n"/>
      <c r="G237" s="2" t="n"/>
    </row>
    <row r="238">
      <c r="A238" s="2" t="n"/>
      <c r="B238" s="2" t="n"/>
      <c r="C238" s="5" t="n"/>
      <c r="D238" s="5" t="n"/>
      <c r="E238" s="4">
        <f>IF(OR($C238="",$D238=""),"",$D238-$C238+1)</f>
        <v/>
      </c>
      <c r="F238" s="2" t="n"/>
      <c r="G238" s="2" t="n"/>
    </row>
    <row r="239">
      <c r="A239" s="2" t="n"/>
      <c r="B239" s="2" t="n"/>
      <c r="C239" s="5" t="n"/>
      <c r="D239" s="5" t="n"/>
      <c r="E239" s="4">
        <f>IF(OR($C239="",$D239=""),"",$D239-$C239+1)</f>
        <v/>
      </c>
      <c r="F239" s="2" t="n"/>
      <c r="G239" s="2" t="n"/>
    </row>
    <row r="240">
      <c r="A240" s="2" t="n"/>
      <c r="B240" s="2" t="n"/>
      <c r="C240" s="5" t="n"/>
      <c r="D240" s="5" t="n"/>
      <c r="E240" s="4">
        <f>IF(OR($C240="",$D240=""),"",$D240-$C240+1)</f>
        <v/>
      </c>
      <c r="F240" s="2" t="n"/>
      <c r="G240" s="2" t="n"/>
    </row>
    <row r="241">
      <c r="A241" s="2" t="n"/>
      <c r="B241" s="2" t="n"/>
      <c r="C241" s="5" t="n"/>
      <c r="D241" s="5" t="n"/>
      <c r="E241" s="4">
        <f>IF(OR($C241="",$D241=""),"",$D241-$C241+1)</f>
        <v/>
      </c>
      <c r="F241" s="2" t="n"/>
      <c r="G241" s="2" t="n"/>
    </row>
    <row r="242">
      <c r="A242" s="2" t="n"/>
      <c r="B242" s="2" t="n"/>
      <c r="C242" s="5" t="n"/>
      <c r="D242" s="5" t="n"/>
      <c r="E242" s="4">
        <f>IF(OR($C242="",$D242=""),"",$D242-$C242+1)</f>
        <v/>
      </c>
      <c r="F242" s="2" t="n"/>
      <c r="G242" s="2" t="n"/>
    </row>
    <row r="243">
      <c r="A243" s="2" t="n"/>
      <c r="B243" s="2" t="n"/>
      <c r="C243" s="5" t="n"/>
      <c r="D243" s="5" t="n"/>
      <c r="E243" s="4">
        <f>IF(OR($C243="",$D243=""),"",$D243-$C243+1)</f>
        <v/>
      </c>
      <c r="F243" s="2" t="n"/>
      <c r="G243" s="2" t="n"/>
    </row>
    <row r="244">
      <c r="A244" s="2" t="n"/>
      <c r="B244" s="2" t="n"/>
      <c r="C244" s="5" t="n"/>
      <c r="D244" s="5" t="n"/>
      <c r="E244" s="4">
        <f>IF(OR($C244="",$D244=""),"",$D244-$C244+1)</f>
        <v/>
      </c>
      <c r="F244" s="2" t="n"/>
      <c r="G244" s="2" t="n"/>
    </row>
    <row r="245">
      <c r="A245" s="2" t="n"/>
      <c r="B245" s="2" t="n"/>
      <c r="C245" s="5" t="n"/>
      <c r="D245" s="5" t="n"/>
      <c r="E245" s="4">
        <f>IF(OR($C245="",$D245=""),"",$D245-$C245+1)</f>
        <v/>
      </c>
      <c r="F245" s="2" t="n"/>
      <c r="G245" s="2" t="n"/>
    </row>
    <row r="246">
      <c r="A246" s="2" t="n"/>
      <c r="B246" s="2" t="n"/>
      <c r="C246" s="5" t="n"/>
      <c r="D246" s="5" t="n"/>
      <c r="E246" s="4">
        <f>IF(OR($C246="",$D246=""),"",$D246-$C246+1)</f>
        <v/>
      </c>
      <c r="F246" s="2" t="n"/>
      <c r="G246" s="2" t="n"/>
    </row>
    <row r="247">
      <c r="A247" s="2" t="n"/>
      <c r="B247" s="2" t="n"/>
      <c r="C247" s="5" t="n"/>
      <c r="D247" s="5" t="n"/>
      <c r="E247" s="4">
        <f>IF(OR($C247="",$D247=""),"",$D247-$C247+1)</f>
        <v/>
      </c>
      <c r="F247" s="2" t="n"/>
      <c r="G247" s="2" t="n"/>
    </row>
    <row r="248">
      <c r="A248" s="2" t="n"/>
      <c r="B248" s="2" t="n"/>
      <c r="C248" s="5" t="n"/>
      <c r="D248" s="5" t="n"/>
      <c r="E248" s="4">
        <f>IF(OR($C248="",$D248=""),"",$D248-$C248+1)</f>
        <v/>
      </c>
      <c r="F248" s="2" t="n"/>
      <c r="G248" s="2" t="n"/>
    </row>
    <row r="249">
      <c r="A249" s="2" t="n"/>
      <c r="B249" s="2" t="n"/>
      <c r="C249" s="5" t="n"/>
      <c r="D249" s="5" t="n"/>
      <c r="E249" s="4">
        <f>IF(OR($C249="",$D249=""),"",$D249-$C249+1)</f>
        <v/>
      </c>
      <c r="F249" s="2" t="n"/>
      <c r="G249" s="2" t="n"/>
    </row>
    <row r="250">
      <c r="A250" s="2" t="n"/>
      <c r="B250" s="2" t="n"/>
      <c r="C250" s="5" t="n"/>
      <c r="D250" s="5" t="n"/>
      <c r="E250" s="4">
        <f>IF(OR($C250="",$D250=""),"",$D250-$C250+1)</f>
        <v/>
      </c>
      <c r="F250" s="2" t="n"/>
      <c r="G250" s="2" t="n"/>
    </row>
    <row r="251">
      <c r="A251" s="2" t="n"/>
      <c r="B251" s="2" t="n"/>
      <c r="C251" s="5" t="n"/>
      <c r="D251" s="5" t="n"/>
      <c r="E251" s="4">
        <f>IF(OR($C251="",$D251=""),"",$D251-$C251+1)</f>
        <v/>
      </c>
      <c r="F251" s="2" t="n"/>
      <c r="G251" s="2" t="n"/>
    </row>
  </sheetData>
  <conditionalFormatting sqref="C2:C251">
    <cfRule type="expression" priority="1" dxfId="0">
      <formula>AND($C2&lt;&gt;"",NOT(ISNUMBER($C2)))</formula>
    </cfRule>
  </conditionalFormatting>
  <conditionalFormatting sqref="D2:D251">
    <cfRule type="expression" priority="2" dxfId="0">
      <formula>AND($D2&lt;&gt;"",NOT(ISNUMBER($D2)))</formula>
    </cfRule>
    <cfRule type="expression" priority="4" dxfId="0">
      <formula>AND(ISNUMBER($C2),ISNUMBER($D2),$D2&lt;$C2)</formula>
    </cfRule>
  </conditionalFormatting>
  <conditionalFormatting sqref="F2:F251">
    <cfRule type="cellIs" priority="3" operator="equal" dxfId="1">
      <formula>"Accordé"</formula>
    </cfRule>
  </conditionalFormatting>
  <dataValidations count="3">
    <dataValidation sqref="B2:B251" showDropDown="0" showInputMessage="0" showErrorMessage="0" allowBlank="1" errorTitle="Type" error="Choisissez dans la liste : Congé annuel, Permission, Maladie, Formation, Autre." type="list">
      <formula1>"Congé annuel,Permission,Maladie,Formation,Autre"</formula1>
    </dataValidation>
    <dataValidation sqref="F2:F251" showDropDown="0" showInputMessage="0" showErrorMessage="0" allowBlank="1" errorTitle="État" error="Choisissez dans la liste : Demandé, Accordé, Refusé, Pris." type="list">
      <formula1>"Demandé,Accordé,Refusé,Pris"</formula1>
    </dataValidation>
    <dataValidation sqref="A2:A251" showDropDown="0" showInputMessage="0" showErrorMessage="0" allowBlank="1" errorTitle="Personne" error="Choisissez une personne de l'onglet Soldes." type="list">
      <formula1>='Soldes'!$A$2:$A$61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</cols>
  <sheetData>
    <row r="1">
      <c r="A1" s="6" t="inlineStr">
        <is>
          <t>Les absences en un coup d'œil</t>
        </is>
      </c>
    </row>
    <row r="3">
      <c r="A3" s="2" t="inlineStr">
        <is>
          <t>Personnes suivies</t>
        </is>
      </c>
      <c r="B3" s="7">
        <f>COUNTA(Soldes!$A$2:$A$61)</f>
        <v/>
      </c>
    </row>
    <row r="4">
      <c r="A4" s="2" t="inlineStr">
        <is>
          <t>Absences en cours aujourd'hui</t>
        </is>
      </c>
      <c r="B4" s="7">
        <f>COUNTIFS(Absences!$C$2:$C$251,"&lt;="&amp;TODAY(),Absences!$D$2:$D$251,"&gt;="&amp;TODAY(),Absences!$F$2:$F$251,"Accordé")+COUNTIFS(Absences!$C$2:$C$251,"&lt;="&amp;TODAY(),Absences!$D$2:$D$251,"&gt;="&amp;TODAY(),Absences!$F$2:$F$251,"Pris")</f>
        <v/>
      </c>
    </row>
    <row r="5" ht="32" customHeight="1">
      <c r="A5" s="2" t="inlineStr">
        <is>
          <t>Absences accordées qui commencent dans les 30 prochains jours</t>
        </is>
      </c>
      <c r="B5" s="7">
        <f>COUNTIFS(Absences!$C$2:$C$251,"&gt;"&amp;TODAY(),Absences!$C$2:$C$251,"&lt;="&amp;TODAY()+30,Absences!$F$2:$F$251,"Accordé")</f>
        <v/>
      </c>
    </row>
    <row r="6">
      <c r="A6" s="2" t="inlineStr">
        <is>
          <t>Demandes en attente de réponse</t>
        </is>
      </c>
      <c r="B6" s="7">
        <f>COUNTIF(Absences!$F$2:$F$251,"Demandé")</f>
        <v/>
      </c>
    </row>
    <row r="7">
      <c r="A7" s="2" t="inlineStr">
        <is>
          <t>Personnes dont le solde de congés est dépassé</t>
        </is>
      </c>
      <c r="B7" s="7">
        <f>COUNTIF(Soldes!$D$2:$D$61,"&lt;0")</f>
        <v/>
      </c>
    </row>
    <row r="8">
      <c r="A8" s="2" t="inlineStr">
        <is>
          <t>Jours accordés ou pris : Congé annuel</t>
        </is>
      </c>
      <c r="B8" s="7">
        <f>SUMIFS(Absences!$E$2:$E$251,Absences!$B$2:$B$251,"Congé annuel",Absences!$F$2:$F$251,"Accordé")+SUMIFS(Absences!$E$2:$E$251,Absences!$B$2:$B$251,"Congé annuel",Absences!$F$2:$F$251,"Pris")</f>
        <v/>
      </c>
    </row>
    <row r="9">
      <c r="A9" s="2" t="inlineStr">
        <is>
          <t>Jours accordés ou pris : Permission</t>
        </is>
      </c>
      <c r="B9" s="7">
        <f>SUMIFS(Absences!$E$2:$E$251,Absences!$B$2:$B$251,"Permission",Absences!$F$2:$F$251,"Accordé")+SUMIFS(Absences!$E$2:$E$251,Absences!$B$2:$B$251,"Permission",Absences!$F$2:$F$251,"Pris")</f>
        <v/>
      </c>
    </row>
    <row r="10">
      <c r="A10" s="2" t="inlineStr">
        <is>
          <t>Jours accordés ou pris : Maladie</t>
        </is>
      </c>
      <c r="B10" s="7">
        <f>SUMIFS(Absences!$E$2:$E$251,Absences!$B$2:$B$251,"Maladie",Absences!$F$2:$F$251,"Accordé")+SUMIFS(Absences!$E$2:$E$251,Absences!$B$2:$B$251,"Maladie",Absences!$F$2:$F$251,"Pris")</f>
        <v/>
      </c>
    </row>
    <row r="11">
      <c r="A11" s="2" t="inlineStr">
        <is>
          <t>Jours accordés ou pris : Formation</t>
        </is>
      </c>
      <c r="B11" s="7">
        <f>SUMIFS(Absences!$E$2:$E$251,Absences!$B$2:$B$251,"Formation",Absences!$F$2:$F$251,"Accordé")+SUMIFS(Absences!$E$2:$E$251,Absences!$B$2:$B$251,"Formation",Absences!$F$2:$F$251,"Pris")</f>
        <v/>
      </c>
    </row>
    <row r="12">
      <c r="A12" s="2" t="inlineStr">
        <is>
          <t>Jours accordés ou pris : Autre</t>
        </is>
      </c>
      <c r="B12" s="7">
        <f>SUMIFS(Absences!$E$2:$E$251,Absences!$B$2:$B$251,"Autre",Absences!$F$2:$F$251,"Accordé")+SUMIFS(Absences!$E$2:$E$251,Absences!$B$2:$B$251,"Autre",Absences!$F$2:$F$251,"Pris")</f>
        <v/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2" customWidth="1" min="3" max="3"/>
    <col width="12" customWidth="1" min="4" max="4"/>
    <col width="8" customWidth="1" min="5" max="5"/>
    <col width="11" customWidth="1" min="6" max="6"/>
    <col width="30" customWidth="1" min="7" max="7"/>
  </cols>
  <sheetData>
    <row r="1" ht="16" customHeight="1">
      <c r="A1" s="6" t="inlineStr">
        <is>
          <t>Suivi des congés et des absences : mode d'emploi</t>
        </is>
      </c>
    </row>
    <row r="2" ht="16" customHeight="1"/>
    <row r="3" ht="16" customHeight="1">
      <c r="A3" s="8" t="inlineStr">
        <is>
          <t>COMMENT REMPLIR :</t>
        </is>
      </c>
    </row>
    <row r="4" ht="32" customHeight="1">
      <c r="A4" s="9" t="inlineStr">
        <is>
          <t>1. Onglet « Soldes » : une ligne par personne, avec son prénom ou son matricule, et le nombre de jours de congé de l'année que vous avez fixé.</t>
        </is>
      </c>
    </row>
    <row r="5" ht="32" customHeight="1">
      <c r="A5" s="9" t="inlineStr">
        <is>
          <t>2. Onglet « Absences » : une ligne par congé ou par absence. Choisissez la personne et le type dans les listes.</t>
        </is>
      </c>
    </row>
    <row r="6" ht="32" customHeight="1">
      <c r="A6" s="9" t="inlineStr">
        <is>
          <t>3. Du, Au : le premier et le dernier jour d'absence, sous la forme 05/10/2026. La case grise « Jours » compte du premier au dernier jour compris.</t>
        </is>
      </c>
    </row>
    <row r="7" ht="32" customHeight="1">
      <c r="A7" s="9" t="inlineStr">
        <is>
          <t>4. État : « Demandé » à la réception de la demande, puis « Accordé » ou « Refusé », puis « Pris » au retour de la personne.</t>
        </is>
      </c>
    </row>
    <row r="8" ht="32" customHeight="1">
      <c r="A8" s="9" t="inlineStr">
        <is>
          <t>5. Les jours de congé annuel accordés ou pris se retirent seuls du solde de la personne. Un solde dépassé s'affiche en rouge.</t>
        </is>
      </c>
    </row>
    <row r="9" ht="16" customHeight="1">
      <c r="A9" s="9" t="inlineStr"/>
    </row>
    <row r="10" ht="16" customHeight="1">
      <c r="A10" s="8" t="inlineStr">
        <is>
          <t>À SAVOIR :</t>
        </is>
      </c>
    </row>
    <row r="11" ht="32" customHeight="1">
      <c r="A11" s="9" t="inlineStr">
        <is>
          <t>Ce tableau compte les jours du calendrier, samedis, dimanches et jours fériés compris. La règle de décompte des congés dépend de votre pays et de votre convention : vérifiez-la auprès de l'inspection du travail.</t>
        </is>
      </c>
    </row>
    <row r="12" ht="16" customHeight="1">
      <c r="A12" s="9" t="inlineStr">
        <is>
          <t>N'écrivez jamais la nature d'une maladie : le type « Maladie » suffit.</t>
        </is>
      </c>
    </row>
    <row r="13" ht="16" customHeight="1">
      <c r="A13" s="9" t="inlineStr"/>
    </row>
    <row r="14" ht="16" customHeight="1">
      <c r="A14" s="8" t="inlineStr">
        <is>
          <t>EXEMPLE (ne modifiez pas cet exemple, il sert seulement de modèle) :</t>
        </is>
      </c>
    </row>
    <row r="15" ht="46" customHeight="1">
      <c r="A15" s="1" t="inlineStr">
        <is>
          <t>Personne</t>
        </is>
      </c>
      <c r="B15" s="1" t="inlineStr">
        <is>
          <t>Type</t>
        </is>
      </c>
      <c r="C15" s="1" t="inlineStr">
        <is>
          <t>Du</t>
        </is>
      </c>
      <c r="D15" s="1" t="inlineStr">
        <is>
          <t>Au</t>
        </is>
      </c>
      <c r="E15" s="1" t="inlineStr">
        <is>
          <t>Jours</t>
        </is>
      </c>
      <c r="F15" s="1" t="inlineStr">
        <is>
          <t>État</t>
        </is>
      </c>
      <c r="G15" s="1" t="inlineStr">
        <is>
          <t>Remarque</t>
        </is>
      </c>
    </row>
    <row r="16" ht="30" customHeight="1">
      <c r="A16" s="2" t="inlineStr">
        <is>
          <t>Magasinier 1</t>
        </is>
      </c>
      <c r="B16" s="2" t="inlineStr">
        <is>
          <t>Congé annuel</t>
        </is>
      </c>
      <c r="C16" s="5" t="n">
        <v>46300</v>
      </c>
      <c r="D16" s="5" t="n">
        <v>46304</v>
      </c>
      <c r="E16" s="4">
        <f>D16-C16+1</f>
        <v/>
      </c>
      <c r="F16" s="2" t="inlineStr">
        <is>
          <t>Accordé</t>
        </is>
      </c>
      <c r="G16" s="2" t="inlineStr"/>
    </row>
    <row r="17" ht="30" customHeight="1">
      <c r="A17" s="2" t="inlineStr">
        <is>
          <t>Caissière</t>
        </is>
      </c>
      <c r="B17" s="2" t="inlineStr">
        <is>
          <t>Permission</t>
        </is>
      </c>
      <c r="C17" s="5" t="n">
        <v>46302</v>
      </c>
      <c r="D17" s="5" t="n">
        <v>46302</v>
      </c>
      <c r="E17" s="4">
        <f>D17-C17+1</f>
        <v/>
      </c>
      <c r="F17" s="2" t="inlineStr">
        <is>
          <t>Demandé</t>
        </is>
      </c>
      <c r="G17" s="2" t="inlineStr">
        <is>
          <t>Réponse à donner</t>
        </is>
      </c>
    </row>
    <row r="19" ht="32" customHeight="1">
      <c r="A19" s="9" t="inlineStr">
        <is>
          <t>Dans cet exemple : le congé du 5 au 9 octobre compte 5 jours, retirés du solde de la personne. La permission d'un jour attend encore une réponse : elle n'est pas comptée.</t>
        </is>
      </c>
    </row>
    <row r="21">
      <c r="A21" s="10" t="inlineStr">
        <is>
          <t>Document du kit « Ressources humaines » d'AI WORK KIT.</t>
        </is>
      </c>
    </row>
  </sheetData>
  <mergeCells count="16">
    <mergeCell ref="A13:G13"/>
    <mergeCell ref="A14:G14"/>
    <mergeCell ref="A1:G1"/>
    <mergeCell ref="A9:G9"/>
    <mergeCell ref="A8:G8"/>
    <mergeCell ref="A3:G3"/>
    <mergeCell ref="A6:G6"/>
    <mergeCell ref="A21:G21"/>
    <mergeCell ref="A12:G12"/>
    <mergeCell ref="A4:G4"/>
    <mergeCell ref="A2:G2"/>
    <mergeCell ref="A7:G7"/>
    <mergeCell ref="A19:G19"/>
    <mergeCell ref="A11:G11"/>
    <mergeCell ref="A10:G10"/>
    <mergeCell ref="A5:G5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2026-10-04T15:09:01Z</dcterms:created>
  <dcterms:modified xmlns:dcterms="http://purl.org/dc/terms/" xmlns:xsi="http://www.w3.org/2001/XMLSchema-instance" xsi:type="dcterms:W3CDTF">2026-10-04T15:09:01Z</dcterms:modified>
</cp:coreProperties>
</file>